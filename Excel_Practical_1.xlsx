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83d37d4c7dd91a2/Desktop/"/>
    </mc:Choice>
  </mc:AlternateContent>
  <xr:revisionPtr revIDLastSave="104" documentId="8_{894197E0-4241-455D-BADC-86EAD5091C75}" xr6:coauthVersionLast="47" xr6:coauthVersionMax="47" xr10:uidLastSave="{9B102372-612E-4A26-B566-042074728B6B}"/>
  <bookViews>
    <workbookView xWindow="-108" yWindow="-108" windowWidth="23256" windowHeight="13896" activeTab="3" xr2:uid="{00000000-000D-0000-FFFF-FFFF00000000}"/>
  </bookViews>
  <sheets>
    <sheet name="Sheet1" sheetId="1" r:id="rId1"/>
    <sheet name="Conditional_1" sheetId="6" r:id="rId2"/>
    <sheet name="Customized Con Formatting" sheetId="3" r:id="rId3"/>
    <sheet name="Sheet1 (2)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4" l="1"/>
  <c r="E25" i="4"/>
  <c r="F25" i="4"/>
  <c r="G25" i="4"/>
  <c r="C25" i="4"/>
  <c r="D24" i="4"/>
  <c r="E24" i="4"/>
  <c r="F24" i="4"/>
  <c r="G24" i="4"/>
  <c r="C24" i="4"/>
  <c r="N4" i="4" a="1"/>
  <c r="N4" i="4"/>
  <c r="N5" i="4" a="1"/>
  <c r="N5" i="4" s="1"/>
  <c r="N6" i="4" a="1"/>
  <c r="N6" i="4" s="1"/>
  <c r="N7" i="4" a="1"/>
  <c r="N7" i="4" s="1"/>
  <c r="N8" i="4" a="1"/>
  <c r="N8" i="4" s="1"/>
  <c r="N9" i="4" a="1"/>
  <c r="N9" i="4"/>
  <c r="N10" i="4" a="1"/>
  <c r="N10" i="4"/>
  <c r="N11" i="4" a="1"/>
  <c r="N11" i="4" s="1"/>
  <c r="N12" i="4" a="1"/>
  <c r="N12" i="4" s="1"/>
  <c r="N13" i="4" a="1"/>
  <c r="N13" i="4" s="1"/>
  <c r="N14" i="4" a="1"/>
  <c r="N14" i="4" s="1"/>
  <c r="N15" i="4" a="1"/>
  <c r="N15" i="4"/>
  <c r="N16" i="4" a="1"/>
  <c r="N16" i="4"/>
  <c r="N17" i="4" a="1"/>
  <c r="N17" i="4" s="1"/>
  <c r="N18" i="4" a="1"/>
  <c r="N18" i="4" s="1"/>
  <c r="N19" i="4" a="1"/>
  <c r="N19" i="4" s="1"/>
  <c r="N20" i="4" a="1"/>
  <c r="N20" i="4" s="1"/>
  <c r="N21" i="4" a="1"/>
  <c r="N21" i="4"/>
  <c r="N22" i="4" a="1"/>
  <c r="N2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N3" i="4" a="1"/>
  <c r="N3" i="4" s="1"/>
  <c r="M3" i="4"/>
  <c r="L3" i="4"/>
  <c r="K3" i="4"/>
  <c r="J3" i="4"/>
  <c r="I3" i="4"/>
  <c r="L67" i="5"/>
  <c r="L68" i="5"/>
  <c r="L69" i="5"/>
  <c r="L70" i="5"/>
  <c r="L71" i="5"/>
  <c r="L72" i="5"/>
  <c r="L73" i="5"/>
  <c r="L74" i="5"/>
  <c r="L75" i="5"/>
  <c r="L76" i="5"/>
  <c r="L77" i="5"/>
  <c r="L66" i="5"/>
  <c r="K67" i="5"/>
  <c r="K68" i="5"/>
  <c r="K69" i="5"/>
  <c r="K70" i="5"/>
  <c r="K71" i="5"/>
  <c r="K72" i="5"/>
  <c r="K73" i="5"/>
  <c r="K74" i="5"/>
  <c r="K75" i="5"/>
  <c r="K76" i="5"/>
  <c r="K77" i="5"/>
  <c r="K66" i="5"/>
  <c r="J67" i="5"/>
  <c r="J68" i="5"/>
  <c r="J69" i="5"/>
  <c r="J70" i="5"/>
  <c r="J71" i="5"/>
  <c r="J72" i="5"/>
  <c r="J73" i="5"/>
  <c r="J74" i="5"/>
  <c r="J75" i="5"/>
  <c r="J76" i="5"/>
  <c r="J77" i="5"/>
  <c r="J66" i="5"/>
  <c r="I67" i="5"/>
  <c r="I68" i="5"/>
  <c r="I69" i="5"/>
  <c r="I70" i="5"/>
  <c r="I71" i="5"/>
  <c r="I72" i="5"/>
  <c r="I73" i="5"/>
  <c r="I74" i="5"/>
  <c r="I75" i="5"/>
  <c r="I76" i="5"/>
  <c r="I77" i="5"/>
  <c r="I66" i="5"/>
  <c r="H67" i="5"/>
  <c r="H68" i="5"/>
  <c r="H69" i="5"/>
  <c r="H70" i="5"/>
  <c r="H71" i="5"/>
  <c r="H72" i="5"/>
  <c r="H73" i="5"/>
  <c r="H74" i="5"/>
  <c r="H75" i="5"/>
  <c r="H76" i="5"/>
  <c r="H77" i="5"/>
  <c r="H66" i="5"/>
  <c r="D63" i="5"/>
  <c r="E63" i="5"/>
  <c r="F63" i="5"/>
  <c r="G63" i="5"/>
  <c r="H63" i="5"/>
  <c r="I63" i="5"/>
  <c r="J63" i="5"/>
  <c r="K63" i="5"/>
  <c r="L63" i="5"/>
  <c r="M63" i="5"/>
  <c r="N63" i="5"/>
  <c r="C63" i="5"/>
  <c r="D62" i="5"/>
  <c r="E62" i="5"/>
  <c r="F62" i="5"/>
  <c r="G62" i="5"/>
  <c r="H62" i="5"/>
  <c r="I62" i="5"/>
  <c r="J62" i="5"/>
  <c r="K62" i="5"/>
  <c r="L62" i="5"/>
  <c r="M62" i="5"/>
  <c r="N62" i="5"/>
  <c r="C62" i="5"/>
  <c r="D61" i="5"/>
  <c r="E61" i="5"/>
  <c r="F61" i="5"/>
  <c r="G61" i="5"/>
  <c r="H61" i="5"/>
  <c r="I61" i="5"/>
  <c r="J61" i="5"/>
  <c r="K61" i="5"/>
  <c r="L61" i="5"/>
  <c r="M61" i="5"/>
  <c r="N61" i="5"/>
  <c r="C61" i="5"/>
  <c r="N60" i="5"/>
  <c r="D60" i="5"/>
  <c r="E60" i="5"/>
  <c r="F60" i="5"/>
  <c r="G60" i="5"/>
  <c r="H60" i="5"/>
  <c r="I60" i="5"/>
  <c r="J60" i="5"/>
  <c r="K60" i="5"/>
  <c r="L60" i="5"/>
  <c r="M60" i="5"/>
  <c r="C60" i="5"/>
  <c r="D59" i="5"/>
  <c r="E59" i="5"/>
  <c r="F59" i="5"/>
  <c r="G59" i="5"/>
  <c r="H59" i="5"/>
  <c r="I59" i="5"/>
  <c r="J59" i="5"/>
  <c r="K59" i="5"/>
  <c r="L59" i="5"/>
  <c r="M59" i="5"/>
  <c r="N59" i="5"/>
  <c r="C59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" i="5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45" i="3"/>
  <c r="D45" i="3"/>
  <c r="C42" i="3"/>
  <c r="J61" i="6"/>
  <c r="E62" i="6"/>
  <c r="H56" i="6"/>
  <c r="D60" i="6"/>
  <c r="G24" i="6"/>
  <c r="H24" i="6" s="1"/>
  <c r="I24" i="6" s="1"/>
  <c r="G23" i="6"/>
  <c r="H23" i="6" s="1"/>
  <c r="I23" i="6" s="1"/>
  <c r="G22" i="6"/>
  <c r="H22" i="6" s="1"/>
  <c r="I22" i="6" s="1"/>
  <c r="G21" i="6"/>
  <c r="H21" i="6" s="1"/>
  <c r="I21" i="6" s="1"/>
  <c r="G20" i="6"/>
  <c r="H20" i="6" s="1"/>
  <c r="I20" i="6" s="1"/>
  <c r="G19" i="6"/>
  <c r="H19" i="6" s="1"/>
  <c r="I19" i="6" s="1"/>
  <c r="G18" i="6"/>
  <c r="H18" i="6" s="1"/>
  <c r="I18" i="6" s="1"/>
  <c r="G17" i="6"/>
  <c r="H17" i="6" s="1"/>
  <c r="I17" i="6" s="1"/>
  <c r="G16" i="6"/>
  <c r="H16" i="6" s="1"/>
  <c r="I16" i="6" s="1"/>
  <c r="G15" i="6"/>
  <c r="H15" i="6" s="1"/>
  <c r="I15" i="6" s="1"/>
  <c r="G12" i="6"/>
  <c r="H12" i="6" s="1"/>
  <c r="I12" i="6" s="1"/>
  <c r="G11" i="6"/>
  <c r="H11" i="6" s="1"/>
  <c r="I11" i="6" s="1"/>
  <c r="G10" i="6"/>
  <c r="H10" i="6" s="1"/>
  <c r="I10" i="6" s="1"/>
  <c r="G9" i="6"/>
  <c r="H9" i="6" s="1"/>
  <c r="I9" i="6" s="1"/>
  <c r="G8" i="6"/>
  <c r="H8" i="6" s="1"/>
  <c r="I8" i="6" s="1"/>
  <c r="G7" i="6"/>
  <c r="H7" i="6" s="1"/>
  <c r="I7" i="6" s="1"/>
  <c r="G6" i="6"/>
  <c r="H6" i="6" s="1"/>
  <c r="I6" i="6" s="1"/>
  <c r="G5" i="6"/>
  <c r="H5" i="6" s="1"/>
  <c r="I5" i="6" s="1"/>
  <c r="G4" i="6"/>
  <c r="H4" i="6" s="1"/>
  <c r="I4" i="6" s="1"/>
  <c r="G3" i="6"/>
  <c r="H3" i="6" s="1"/>
  <c r="I3" i="6" s="1"/>
  <c r="F45" i="3" l="1"/>
  <c r="G45" i="3"/>
  <c r="F61" i="3"/>
  <c r="F53" i="3"/>
  <c r="F68" i="3"/>
  <c r="F60" i="3"/>
  <c r="F52" i="3"/>
  <c r="F50" i="3"/>
  <c r="F63" i="3"/>
  <c r="F55" i="3"/>
  <c r="F47" i="3"/>
  <c r="F62" i="3"/>
  <c r="F54" i="3"/>
  <c r="F46" i="3"/>
  <c r="F67" i="3"/>
  <c r="F59" i="3"/>
  <c r="F51" i="3"/>
  <c r="F66" i="3"/>
  <c r="F58" i="3"/>
  <c r="F65" i="3"/>
  <c r="F57" i="3"/>
  <c r="F49" i="3"/>
  <c r="F64" i="3"/>
  <c r="F56" i="3"/>
  <c r="F48" i="3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L29" i="5" l="1"/>
  <c r="I29" i="5"/>
  <c r="J29" i="5"/>
  <c r="K29" i="5"/>
  <c r="H29" i="5"/>
  <c r="J35" i="5"/>
  <c r="H35" i="5"/>
  <c r="L35" i="5"/>
  <c r="I35" i="5"/>
  <c r="K35" i="5"/>
  <c r="K45" i="5"/>
  <c r="H45" i="5"/>
  <c r="L45" i="5"/>
  <c r="I45" i="5"/>
  <c r="J45" i="5"/>
  <c r="K44" i="5"/>
  <c r="H44" i="5"/>
  <c r="I44" i="5"/>
  <c r="L44" i="5"/>
  <c r="J44" i="5"/>
  <c r="K32" i="5"/>
  <c r="H32" i="5"/>
  <c r="L32" i="5"/>
  <c r="I32" i="5"/>
  <c r="J32" i="5"/>
  <c r="L42" i="5"/>
  <c r="I42" i="5"/>
  <c r="J42" i="5"/>
  <c r="K42" i="5"/>
  <c r="H42" i="5"/>
  <c r="J38" i="5"/>
  <c r="K38" i="5"/>
  <c r="H38" i="5"/>
  <c r="I38" i="5"/>
  <c r="L38" i="5"/>
  <c r="K26" i="5"/>
  <c r="L26" i="5"/>
  <c r="I26" i="5"/>
  <c r="H26" i="5"/>
  <c r="J26" i="5"/>
  <c r="J36" i="5"/>
  <c r="K36" i="5"/>
  <c r="H36" i="5"/>
  <c r="L36" i="5"/>
  <c r="I36" i="5"/>
  <c r="K34" i="5"/>
  <c r="H34" i="5"/>
  <c r="I34" i="5"/>
  <c r="J34" i="5"/>
  <c r="L34" i="5"/>
  <c r="K33" i="5"/>
  <c r="H33" i="5"/>
  <c r="L33" i="5"/>
  <c r="I33" i="5"/>
  <c r="J33" i="5"/>
  <c r="K43" i="5"/>
  <c r="H43" i="5"/>
  <c r="L43" i="5"/>
  <c r="J43" i="5"/>
  <c r="I43" i="5"/>
  <c r="K31" i="5"/>
  <c r="H31" i="5"/>
  <c r="I31" i="5"/>
  <c r="L31" i="5"/>
  <c r="J31" i="5"/>
  <c r="L30" i="5"/>
  <c r="J30" i="5"/>
  <c r="K30" i="5"/>
  <c r="H30" i="5"/>
  <c r="I30" i="5"/>
  <c r="L40" i="5"/>
  <c r="I40" i="5"/>
  <c r="J40" i="5"/>
  <c r="K40" i="5"/>
  <c r="H40" i="5"/>
  <c r="L28" i="5"/>
  <c r="I28" i="5"/>
  <c r="J28" i="5"/>
  <c r="K28" i="5"/>
  <c r="H28" i="5"/>
  <c r="L39" i="5"/>
  <c r="I39" i="5"/>
  <c r="J39" i="5"/>
  <c r="K39" i="5"/>
  <c r="H39" i="5"/>
  <c r="L27" i="5"/>
  <c r="I27" i="5"/>
  <c r="J27" i="5"/>
  <c r="K27" i="5"/>
  <c r="H27" i="5"/>
  <c r="L41" i="5"/>
  <c r="I41" i="5"/>
  <c r="J41" i="5"/>
  <c r="H41" i="5"/>
  <c r="K41" i="5"/>
  <c r="J37" i="5"/>
  <c r="K37" i="5"/>
  <c r="H37" i="5"/>
  <c r="L37" i="5"/>
  <c r="I37" i="5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C48" i="1" l="1"/>
  <c r="C33" i="1" l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B34" i="1"/>
  <c r="B35" i="1"/>
  <c r="B36" i="1"/>
  <c r="B37" i="1"/>
  <c r="B38" i="1"/>
  <c r="B39" i="1"/>
  <c r="B40" i="1"/>
  <c r="B41" i="1"/>
  <c r="B42" i="1"/>
  <c r="B33" i="1"/>
  <c r="D48" i="1" l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C49" i="1"/>
  <c r="C50" i="1"/>
  <c r="C51" i="1"/>
  <c r="C52" i="1"/>
  <c r="C6" i="1"/>
  <c r="C7" i="1"/>
  <c r="C8" i="1"/>
  <c r="C9" i="1"/>
  <c r="C10" i="1"/>
  <c r="C11" i="1"/>
  <c r="C12" i="1"/>
  <c r="C13" i="1"/>
  <c r="C14" i="1"/>
  <c r="C5" i="1"/>
  <c r="D21" i="1" l="1"/>
  <c r="D22" i="1"/>
  <c r="D23" i="1"/>
  <c r="D24" i="1"/>
  <c r="C25" i="1"/>
  <c r="B25" i="1"/>
  <c r="D20" i="1"/>
  <c r="D25" i="1" l="1"/>
  <c r="B26" i="1" s="1"/>
  <c r="C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<sst xmlns="http://schemas.openxmlformats.org/spreadsheetml/2006/main" count="393" uniqueCount="186">
  <si>
    <t>Name</t>
  </si>
  <si>
    <t>Marks</t>
  </si>
  <si>
    <t>Sagar</t>
  </si>
  <si>
    <t>Sunil</t>
  </si>
  <si>
    <t>Anil</t>
  </si>
  <si>
    <t>Kumar</t>
  </si>
  <si>
    <t>Sumit</t>
  </si>
  <si>
    <t>Vishal</t>
  </si>
  <si>
    <t>Vijay</t>
  </si>
  <si>
    <t>Sarika</t>
  </si>
  <si>
    <t>Kiran</t>
  </si>
  <si>
    <t>Ketan</t>
  </si>
  <si>
    <t>Percentage</t>
  </si>
  <si>
    <t>Max Marks</t>
  </si>
  <si>
    <t>EX-1</t>
  </si>
  <si>
    <t>EX-2</t>
  </si>
  <si>
    <t>Month</t>
  </si>
  <si>
    <t>Amit</t>
  </si>
  <si>
    <t>Total</t>
  </si>
  <si>
    <t>Jan</t>
  </si>
  <si>
    <t>Feb</t>
  </si>
  <si>
    <t>Mar</t>
  </si>
  <si>
    <t>Apr</t>
  </si>
  <si>
    <t>May</t>
  </si>
  <si>
    <t>% of Sale</t>
  </si>
  <si>
    <t>EX-3</t>
  </si>
  <si>
    <t>Gross Salary</t>
  </si>
  <si>
    <t>PF</t>
  </si>
  <si>
    <t>DA</t>
  </si>
  <si>
    <t>HRA</t>
  </si>
  <si>
    <t>Name of Emp</t>
  </si>
  <si>
    <t>Bonus</t>
  </si>
  <si>
    <t>Medical</t>
  </si>
  <si>
    <t>EX-4</t>
  </si>
  <si>
    <t>`=B5/$B$3</t>
  </si>
  <si>
    <t>`=F10/$H10</t>
  </si>
  <si>
    <t>`=K$4*$J5</t>
  </si>
  <si>
    <t>`=$B21*C$20</t>
  </si>
  <si>
    <t>N17:R17</t>
  </si>
  <si>
    <t>Q5:Q14</t>
  </si>
  <si>
    <t>`"5205 "#</t>
  </si>
  <si>
    <t>`@" Kumar"</t>
  </si>
  <si>
    <t>[&gt;0]#;”Enter Positive Value Only”</t>
  </si>
  <si>
    <t>Date</t>
  </si>
  <si>
    <t xml:space="preserve">Percentage </t>
  </si>
  <si>
    <t>Result</t>
  </si>
  <si>
    <t>Comparative Chart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</si>
  <si>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</si>
  <si>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</si>
  <si>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</si>
  <si>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</si>
  <si>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</si>
  <si>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</si>
  <si>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</si>
  <si>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</si>
  <si>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</si>
  <si>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Naziya B Shaikh</t>
  </si>
  <si>
    <t>Anushka Vaishampayan</t>
  </si>
  <si>
    <t>sambhaji smohite</t>
  </si>
  <si>
    <t>Mayur Subhash Shirode</t>
  </si>
  <si>
    <t>Satish Namdeo Barge</t>
  </si>
  <si>
    <t>Satish Nimblkar</t>
  </si>
  <si>
    <t>Nitin Fakira Patil</t>
  </si>
  <si>
    <t>SHASHIKANT</t>
  </si>
  <si>
    <t>Vidyadhar Pratap Kenwadekar</t>
  </si>
  <si>
    <t>Swati Chivate</t>
  </si>
  <si>
    <t>VILAS E CHANDELKAR</t>
  </si>
  <si>
    <t>DHANANJAY PATURDE</t>
  </si>
  <si>
    <t>SHANTARAM .Z. PARDESHI</t>
  </si>
  <si>
    <t>DEEPALI DANDE</t>
  </si>
  <si>
    <t>Shashikant Prabhakar Rasal</t>
  </si>
  <si>
    <t>Yusufi Khalid Akhter</t>
  </si>
  <si>
    <t>YEOLA MANOHAR EKNATH</t>
  </si>
  <si>
    <t>Smt. Ranjana Amrrut Kshirsagar</t>
  </si>
  <si>
    <t>Vishwajeet D. Mhamane</t>
  </si>
  <si>
    <t>Sunil Santram Kore</t>
  </si>
  <si>
    <t>BHAGCHAND THANWARDAS MOTIHAR</t>
  </si>
  <si>
    <t>santosh Kashiram Ghadi</t>
  </si>
  <si>
    <t>Ravindra Maroti Patil</t>
  </si>
  <si>
    <t>RITESH KASHIPRASAD CHOURSIYA</t>
  </si>
  <si>
    <t>Camera</t>
  </si>
  <si>
    <t>DOB</t>
  </si>
  <si>
    <t>Emp Name</t>
  </si>
  <si>
    <t>EMP NO</t>
  </si>
  <si>
    <t>Laptop</t>
  </si>
  <si>
    <t>Mobile</t>
  </si>
  <si>
    <t>EX-9</t>
  </si>
  <si>
    <t>moto</t>
  </si>
  <si>
    <t>samsung</t>
  </si>
  <si>
    <t>Product</t>
  </si>
  <si>
    <t>camera</t>
  </si>
  <si>
    <t>Price</t>
  </si>
  <si>
    <t xml:space="preserve">Quntity </t>
  </si>
  <si>
    <t>Product Name</t>
  </si>
  <si>
    <t>vivo</t>
  </si>
  <si>
    <t>nokia</t>
  </si>
  <si>
    <t>Entire Record</t>
  </si>
  <si>
    <t>EX-7</t>
  </si>
  <si>
    <t>oppo</t>
  </si>
  <si>
    <t>Traget</t>
  </si>
  <si>
    <t>Net Sales</t>
  </si>
  <si>
    <t>Only column value</t>
  </si>
  <si>
    <t>EX-8</t>
  </si>
  <si>
    <t>EX-6</t>
  </si>
  <si>
    <t>Sr.No</t>
  </si>
  <si>
    <t>Subject 1</t>
  </si>
  <si>
    <t>Subject 2</t>
  </si>
  <si>
    <t>Subject 3</t>
  </si>
  <si>
    <t>Subject 4</t>
  </si>
  <si>
    <t>Subject 5</t>
  </si>
  <si>
    <t>Max</t>
  </si>
  <si>
    <t>Min</t>
  </si>
  <si>
    <t>Average</t>
  </si>
  <si>
    <t>Grade</t>
  </si>
  <si>
    <t>=</t>
  </si>
  <si>
    <t>recognized as a function</t>
  </si>
  <si>
    <t>function name in caps</t>
  </si>
  <si>
    <t>()</t>
  </si>
  <si>
    <t>tp pass the agrument / parameter</t>
  </si>
  <si>
    <t>,</t>
  </si>
  <si>
    <t>(comma) use for paramerter separator</t>
  </si>
  <si>
    <t>:</t>
  </si>
  <si>
    <t>(colon) combination of range</t>
  </si>
  <si>
    <t>[]</t>
  </si>
  <si>
    <t>square bracket use as optional parameter</t>
  </si>
  <si>
    <t>{}</t>
  </si>
  <si>
    <t>curly bracket use for multiple parameter (use for array)</t>
  </si>
  <si>
    <t>AVERAGE</t>
  </si>
  <si>
    <t>COUNT</t>
  </si>
  <si>
    <t>MIN</t>
  </si>
  <si>
    <t>MAX</t>
  </si>
  <si>
    <t>SUM</t>
  </si>
  <si>
    <t>Subjet1</t>
  </si>
  <si>
    <t>Subjet2</t>
  </si>
  <si>
    <t>Subjet3</t>
  </si>
  <si>
    <t>Subjet4</t>
  </si>
  <si>
    <t>Subjet5</t>
  </si>
  <si>
    <t>Highlight less than 60 value from all subjects</t>
  </si>
  <si>
    <t>Highlight Equal  60 value from all subjects</t>
  </si>
  <si>
    <t>Highlight greater  than 60 value from all subjects</t>
  </si>
  <si>
    <t>Highlight values between 60 to 90 from all subjects</t>
  </si>
  <si>
    <t>Highlight green background Color of the text “Pass”</t>
  </si>
  <si>
    <t>Highlight dates</t>
  </si>
  <si>
    <t>Highlight duplicate Values</t>
  </si>
  <si>
    <t>Highlight top and bottom rules</t>
  </si>
  <si>
    <t>Format only cell  that contain</t>
  </si>
  <si>
    <t>Color Scales</t>
  </si>
  <si>
    <t>ICON SETS</t>
  </si>
  <si>
    <t>select only column's range</t>
  </si>
  <si>
    <t>select entire table</t>
  </si>
  <si>
    <t>Net Sales &gt; target</t>
  </si>
  <si>
    <t>Today's Date</t>
  </si>
  <si>
    <t>Bithday</t>
  </si>
  <si>
    <t>month</t>
  </si>
  <si>
    <t>day</t>
  </si>
  <si>
    <t>Logical Functions</t>
  </si>
  <si>
    <t>What</t>
  </si>
  <si>
    <t>No.</t>
  </si>
  <si>
    <t>Logical Function</t>
  </si>
  <si>
    <t>IS 25=45?</t>
  </si>
  <si>
    <t>IS 25&lt;&gt;45?</t>
  </si>
  <si>
    <t>&lt;&gt;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</si>
  <si>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</si>
  <si>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</si>
  <si>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</si>
  <si>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</si>
  <si>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</si>
  <si>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</si>
  <si>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</si>
  <si>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</si>
  <si>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>If function can put one of two things in a cell.</t>
  </si>
  <si>
    <t>If Functions</t>
  </si>
  <si>
    <t>The IF function has three parts.</t>
  </si>
  <si>
    <t>1) Logical text</t>
  </si>
  <si>
    <t>2) Value if True</t>
  </si>
  <si>
    <t>3) Value if False</t>
  </si>
  <si>
    <t>For the "Value if True" and " Value if False", you can put numbers, text (must be in double quoters), formulas, or cell ranges</t>
  </si>
  <si>
    <t>sum</t>
  </si>
  <si>
    <t>max</t>
  </si>
  <si>
    <t>min</t>
  </si>
  <si>
    <t>upper</t>
  </si>
  <si>
    <t>lower</t>
  </si>
  <si>
    <t>len</t>
  </si>
  <si>
    <t>average</t>
  </si>
  <si>
    <t>count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</si>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</sst>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0]#;&quot;Enter Positive Numbers Only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9" fontId="0" fillId="0" borderId="0" xfId="0" applyNumberFormat="1"/>
    <xf numFmtId="9" fontId="0" fillId="0" borderId="0" xfId="1" applyFont="1"/>
    <xf numFmtId="0" fontId="0" fillId="3" borderId="0" xfId="0" applyFill="1"/>
    <xf numFmtId="0" fontId="3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4" fontId="0" fillId="0" borderId="0" xfId="0" applyNumberFormat="1"/>
    <xf numFmtId="0" fontId="0" fillId="0" borderId="4" xfId="0" applyBorder="1"/>
    <xf numFmtId="49" fontId="0" fillId="0" borderId="0" xfId="0" applyNumberFormat="1"/>
    <xf numFmtId="0" fontId="0" fillId="0" borderId="5" xfId="0" applyBorder="1"/>
    <xf numFmtId="1" fontId="0" fillId="0" borderId="0" xfId="0" applyNumberFormat="1"/>
    <xf numFmtId="1" fontId="0" fillId="0" borderId="4" xfId="0" applyNumberFormat="1" applyBorder="1"/>
    <xf numFmtId="0" fontId="0" fillId="0" borderId="0" xfId="0" applyBorder="1"/>
    <xf numFmtId="0" fontId="0" fillId="0" borderId="6" xfId="0" applyFill="1" applyBorder="1"/>
  </cellXfs>
  <cellStyles count="2">
    <cellStyle name="Normal" xfId="0" builtinId="0"/>
    <cellStyle name="Percent" xfId="1" builtinId="5"/>
  </cellStyles>
  <dxfs count="8"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5"/>
  <sheetViews>
    <sheetView workbookViewId="0">
      <selection activeCell="H71" sqref="H71"/>
    </sheetView>
  </sheetViews>
  <sheetFormatPr defaultRowHeight="14.4" x14ac:dyDescent="0.3"/>
  <cols>
    <col min="1" max="1" width="12.109375" bestFit="1" customWidth="1"/>
    <col min="2" max="2" width="12.6640625" customWidth="1"/>
    <col min="3" max="3" width="23.77734375" customWidth="1"/>
    <col min="5" max="5" width="10.44140625" bestFit="1" customWidth="1"/>
    <col min="9" max="9" width="6.88671875" customWidth="1"/>
    <col min="16" max="16" width="10.44140625" bestFit="1" customWidth="1"/>
  </cols>
  <sheetData>
    <row r="2" spans="1:12" x14ac:dyDescent="0.3">
      <c r="A2" t="s">
        <v>14</v>
      </c>
      <c r="B2" s="5" t="s">
        <v>34</v>
      </c>
    </row>
    <row r="3" spans="1:12" x14ac:dyDescent="0.3">
      <c r="A3" t="s">
        <v>13</v>
      </c>
      <c r="B3">
        <v>100</v>
      </c>
    </row>
    <row r="4" spans="1:12" x14ac:dyDescent="0.3">
      <c r="A4" s="1" t="s">
        <v>0</v>
      </c>
      <c r="B4" s="1" t="s">
        <v>1</v>
      </c>
      <c r="C4" s="1" t="s">
        <v>12</v>
      </c>
    </row>
    <row r="5" spans="1:12" x14ac:dyDescent="0.3">
      <c r="A5" t="s">
        <v>2</v>
      </c>
      <c r="B5">
        <v>23</v>
      </c>
      <c r="C5" s="4">
        <f>B5/B$3</f>
        <v>0.23</v>
      </c>
    </row>
    <row r="6" spans="1:12" x14ac:dyDescent="0.3">
      <c r="A6" t="s">
        <v>3</v>
      </c>
      <c r="B6">
        <v>54</v>
      </c>
      <c r="C6" s="4">
        <f t="shared" ref="C6:C14" si="0">B6/B$3</f>
        <v>0.54</v>
      </c>
    </row>
    <row r="7" spans="1:12" x14ac:dyDescent="0.3">
      <c r="A7" t="s">
        <v>4</v>
      </c>
      <c r="B7">
        <v>56</v>
      </c>
      <c r="C7" s="4">
        <f t="shared" si="0"/>
        <v>0.56000000000000005</v>
      </c>
      <c r="F7" s="5">
        <v>50</v>
      </c>
      <c r="H7" t="s">
        <v>39</v>
      </c>
    </row>
    <row r="8" spans="1:12" x14ac:dyDescent="0.3">
      <c r="A8" t="s">
        <v>5</v>
      </c>
      <c r="B8">
        <v>85</v>
      </c>
      <c r="C8" s="4">
        <f t="shared" si="0"/>
        <v>0.85</v>
      </c>
      <c r="F8" s="5">
        <v>20</v>
      </c>
    </row>
    <row r="9" spans="1:12" x14ac:dyDescent="0.3">
      <c r="A9" t="s">
        <v>6</v>
      </c>
      <c r="B9">
        <v>95</v>
      </c>
      <c r="C9" s="4">
        <f t="shared" si="0"/>
        <v>0.95</v>
      </c>
      <c r="F9" s="5">
        <v>65</v>
      </c>
    </row>
    <row r="10" spans="1:12" x14ac:dyDescent="0.3">
      <c r="A10" t="s">
        <v>7</v>
      </c>
      <c r="B10">
        <v>65</v>
      </c>
      <c r="C10" s="4">
        <f t="shared" si="0"/>
        <v>0.65</v>
      </c>
      <c r="F10" s="5">
        <v>62</v>
      </c>
    </row>
    <row r="11" spans="1:12" x14ac:dyDescent="0.3">
      <c r="A11" t="s">
        <v>8</v>
      </c>
      <c r="B11">
        <v>65</v>
      </c>
      <c r="C11" s="4">
        <f t="shared" si="0"/>
        <v>0.65</v>
      </c>
      <c r="F11" s="5">
        <v>335</v>
      </c>
    </row>
    <row r="12" spans="1:12" x14ac:dyDescent="0.3">
      <c r="A12" t="s">
        <v>9</v>
      </c>
      <c r="B12">
        <v>75</v>
      </c>
      <c r="C12" s="4">
        <f t="shared" si="0"/>
        <v>0.75</v>
      </c>
      <c r="F12" s="5">
        <v>52</v>
      </c>
      <c r="H12" s="5">
        <v>45</v>
      </c>
      <c r="I12" s="5">
        <v>85</v>
      </c>
      <c r="J12" s="5">
        <v>66</v>
      </c>
      <c r="K12" s="5">
        <v>77</v>
      </c>
      <c r="L12" s="5">
        <v>88</v>
      </c>
    </row>
    <row r="13" spans="1:12" x14ac:dyDescent="0.3">
      <c r="A13" t="s">
        <v>10</v>
      </c>
      <c r="B13">
        <v>35</v>
      </c>
      <c r="C13" s="4">
        <f t="shared" si="0"/>
        <v>0.35</v>
      </c>
      <c r="F13" s="5">
        <v>65</v>
      </c>
    </row>
    <row r="14" spans="1:12" x14ac:dyDescent="0.3">
      <c r="A14" t="s">
        <v>11</v>
      </c>
      <c r="B14">
        <v>65</v>
      </c>
      <c r="C14" s="4">
        <f t="shared" si="0"/>
        <v>0.65</v>
      </c>
      <c r="F14" s="5">
        <v>56</v>
      </c>
      <c r="J14" t="s">
        <v>38</v>
      </c>
    </row>
    <row r="15" spans="1:12" x14ac:dyDescent="0.3">
      <c r="C15" s="4"/>
      <c r="F15" s="5">
        <v>85</v>
      </c>
    </row>
    <row r="16" spans="1:12" x14ac:dyDescent="0.3">
      <c r="C16" s="4"/>
      <c r="F16" s="5">
        <v>56</v>
      </c>
    </row>
    <row r="17" spans="1:6" x14ac:dyDescent="0.3">
      <c r="A17" t="s">
        <v>15</v>
      </c>
      <c r="B17" s="5" t="s">
        <v>35</v>
      </c>
    </row>
    <row r="19" spans="1:6" x14ac:dyDescent="0.3">
      <c r="A19" s="1" t="s">
        <v>16</v>
      </c>
      <c r="B19" s="1" t="s">
        <v>17</v>
      </c>
      <c r="C19" s="1" t="s">
        <v>6</v>
      </c>
      <c r="D19" s="1" t="s">
        <v>18</v>
      </c>
    </row>
    <row r="20" spans="1:6" x14ac:dyDescent="0.3">
      <c r="A20" t="s">
        <v>19</v>
      </c>
      <c r="B20">
        <v>225</v>
      </c>
      <c r="C20">
        <v>654</v>
      </c>
      <c r="D20">
        <f>SUM(B20:C20)</f>
        <v>879</v>
      </c>
    </row>
    <row r="21" spans="1:6" x14ac:dyDescent="0.3">
      <c r="A21" t="s">
        <v>20</v>
      </c>
      <c r="B21">
        <v>852</v>
      </c>
      <c r="C21">
        <v>456</v>
      </c>
      <c r="D21">
        <f t="shared" ref="D21:D25" si="1">SUM(B21:C21)</f>
        <v>1308</v>
      </c>
    </row>
    <row r="22" spans="1:6" x14ac:dyDescent="0.3">
      <c r="A22" t="s">
        <v>21</v>
      </c>
      <c r="B22">
        <v>654</v>
      </c>
      <c r="C22">
        <v>359</v>
      </c>
      <c r="D22">
        <f t="shared" si="1"/>
        <v>1013</v>
      </c>
    </row>
    <row r="23" spans="1:6" x14ac:dyDescent="0.3">
      <c r="A23" t="s">
        <v>22</v>
      </c>
      <c r="B23">
        <v>753</v>
      </c>
      <c r="C23">
        <v>751</v>
      </c>
      <c r="D23">
        <f t="shared" si="1"/>
        <v>1504</v>
      </c>
    </row>
    <row r="24" spans="1:6" x14ac:dyDescent="0.3">
      <c r="A24" t="s">
        <v>23</v>
      </c>
      <c r="B24">
        <v>951</v>
      </c>
      <c r="C24">
        <v>359</v>
      </c>
      <c r="D24">
        <f t="shared" si="1"/>
        <v>1310</v>
      </c>
    </row>
    <row r="25" spans="1:6" x14ac:dyDescent="0.3">
      <c r="A25" t="s">
        <v>18</v>
      </c>
      <c r="B25">
        <f>SUM(B20:B24)</f>
        <v>3435</v>
      </c>
      <c r="C25">
        <f>SUM(C20:C24)</f>
        <v>2579</v>
      </c>
      <c r="D25">
        <f t="shared" si="1"/>
        <v>6014</v>
      </c>
    </row>
    <row r="26" spans="1:6" x14ac:dyDescent="0.3">
      <c r="A26" t="s">
        <v>24</v>
      </c>
      <c r="B26" s="4">
        <f>B25/$D25</f>
        <v>0.57116727635517128</v>
      </c>
      <c r="C26" s="4">
        <f>C25/$D25</f>
        <v>0.42883272364482872</v>
      </c>
      <c r="D26" s="4"/>
    </row>
    <row r="30" spans="1:6" x14ac:dyDescent="0.3">
      <c r="A30" t="s">
        <v>25</v>
      </c>
      <c r="B30" s="5" t="s">
        <v>36</v>
      </c>
    </row>
    <row r="32" spans="1:6" x14ac:dyDescent="0.3">
      <c r="B32" s="2">
        <v>10</v>
      </c>
      <c r="C32" s="2">
        <v>20</v>
      </c>
      <c r="D32" s="2">
        <v>30</v>
      </c>
      <c r="E32" s="2">
        <v>40</v>
      </c>
      <c r="F32" s="2">
        <v>50</v>
      </c>
    </row>
    <row r="33" spans="1:7" x14ac:dyDescent="0.3">
      <c r="A33" s="2">
        <v>1</v>
      </c>
      <c r="B33">
        <f t="shared" ref="B33:F42" si="2">$A33*B$32</f>
        <v>10</v>
      </c>
      <c r="C33">
        <f t="shared" si="2"/>
        <v>20</v>
      </c>
      <c r="D33">
        <f t="shared" si="2"/>
        <v>30</v>
      </c>
      <c r="E33">
        <f t="shared" si="2"/>
        <v>40</v>
      </c>
      <c r="F33">
        <f t="shared" si="2"/>
        <v>50</v>
      </c>
    </row>
    <row r="34" spans="1:7" x14ac:dyDescent="0.3">
      <c r="A34" s="2">
        <v>2</v>
      </c>
      <c r="B34">
        <f t="shared" si="2"/>
        <v>20</v>
      </c>
      <c r="C34">
        <f t="shared" si="2"/>
        <v>40</v>
      </c>
      <c r="D34">
        <f t="shared" si="2"/>
        <v>60</v>
      </c>
      <c r="E34">
        <f t="shared" si="2"/>
        <v>80</v>
      </c>
      <c r="F34">
        <f t="shared" si="2"/>
        <v>100</v>
      </c>
    </row>
    <row r="35" spans="1:7" x14ac:dyDescent="0.3">
      <c r="A35" s="2">
        <v>3</v>
      </c>
      <c r="B35">
        <f t="shared" si="2"/>
        <v>30</v>
      </c>
      <c r="C35">
        <f t="shared" si="2"/>
        <v>60</v>
      </c>
      <c r="D35">
        <f t="shared" si="2"/>
        <v>90</v>
      </c>
      <c r="E35">
        <f t="shared" si="2"/>
        <v>120</v>
      </c>
      <c r="F35">
        <f t="shared" si="2"/>
        <v>150</v>
      </c>
    </row>
    <row r="36" spans="1:7" x14ac:dyDescent="0.3">
      <c r="A36" s="2">
        <v>4</v>
      </c>
      <c r="B36">
        <f t="shared" si="2"/>
        <v>40</v>
      </c>
      <c r="C36">
        <f t="shared" si="2"/>
        <v>80</v>
      </c>
      <c r="D36">
        <f t="shared" si="2"/>
        <v>120</v>
      </c>
      <c r="E36">
        <f t="shared" si="2"/>
        <v>160</v>
      </c>
      <c r="F36">
        <f t="shared" si="2"/>
        <v>200</v>
      </c>
    </row>
    <row r="37" spans="1:7" x14ac:dyDescent="0.3">
      <c r="A37" s="2">
        <v>5</v>
      </c>
      <c r="B37">
        <f t="shared" si="2"/>
        <v>50</v>
      </c>
      <c r="C37">
        <f t="shared" si="2"/>
        <v>100</v>
      </c>
      <c r="D37">
        <f t="shared" si="2"/>
        <v>150</v>
      </c>
      <c r="E37">
        <f t="shared" si="2"/>
        <v>200</v>
      </c>
      <c r="F37">
        <f t="shared" si="2"/>
        <v>250</v>
      </c>
    </row>
    <row r="38" spans="1:7" x14ac:dyDescent="0.3">
      <c r="A38" s="2">
        <v>6</v>
      </c>
      <c r="B38">
        <f t="shared" si="2"/>
        <v>60</v>
      </c>
      <c r="C38">
        <f t="shared" si="2"/>
        <v>120</v>
      </c>
      <c r="D38">
        <f t="shared" si="2"/>
        <v>180</v>
      </c>
      <c r="E38">
        <f t="shared" si="2"/>
        <v>240</v>
      </c>
      <c r="F38">
        <f t="shared" si="2"/>
        <v>300</v>
      </c>
    </row>
    <row r="39" spans="1:7" x14ac:dyDescent="0.3">
      <c r="A39" s="2">
        <v>7</v>
      </c>
      <c r="B39">
        <f t="shared" si="2"/>
        <v>70</v>
      </c>
      <c r="C39">
        <f t="shared" si="2"/>
        <v>140</v>
      </c>
      <c r="D39">
        <f t="shared" si="2"/>
        <v>210</v>
      </c>
      <c r="E39">
        <f t="shared" si="2"/>
        <v>280</v>
      </c>
      <c r="F39">
        <f t="shared" si="2"/>
        <v>350</v>
      </c>
    </row>
    <row r="40" spans="1:7" x14ac:dyDescent="0.3">
      <c r="A40" s="2">
        <v>8</v>
      </c>
      <c r="B40">
        <f t="shared" si="2"/>
        <v>80</v>
      </c>
      <c r="C40">
        <f t="shared" si="2"/>
        <v>160</v>
      </c>
      <c r="D40">
        <f t="shared" si="2"/>
        <v>240</v>
      </c>
      <c r="E40">
        <f t="shared" si="2"/>
        <v>320</v>
      </c>
      <c r="F40">
        <f t="shared" si="2"/>
        <v>400</v>
      </c>
    </row>
    <row r="41" spans="1:7" x14ac:dyDescent="0.3">
      <c r="A41" s="2">
        <v>9</v>
      </c>
      <c r="B41">
        <f t="shared" si="2"/>
        <v>90</v>
      </c>
      <c r="C41">
        <f t="shared" si="2"/>
        <v>180</v>
      </c>
      <c r="D41">
        <f t="shared" si="2"/>
        <v>270</v>
      </c>
      <c r="E41">
        <f t="shared" si="2"/>
        <v>360</v>
      </c>
      <c r="F41">
        <f t="shared" si="2"/>
        <v>450</v>
      </c>
    </row>
    <row r="42" spans="1:7" x14ac:dyDescent="0.3">
      <c r="A42" s="2">
        <v>10</v>
      </c>
      <c r="B42">
        <f t="shared" si="2"/>
        <v>100</v>
      </c>
      <c r="C42">
        <f t="shared" si="2"/>
        <v>200</v>
      </c>
      <c r="D42">
        <f t="shared" si="2"/>
        <v>300</v>
      </c>
      <c r="E42">
        <f t="shared" si="2"/>
        <v>400</v>
      </c>
      <c r="F42">
        <f t="shared" si="2"/>
        <v>500</v>
      </c>
    </row>
    <row r="43" spans="1:7" ht="15" customHeight="1" x14ac:dyDescent="0.3"/>
    <row r="45" spans="1:7" x14ac:dyDescent="0.3">
      <c r="A45" t="s">
        <v>33</v>
      </c>
      <c r="B45" s="5" t="s">
        <v>37</v>
      </c>
    </row>
    <row r="46" spans="1:7" x14ac:dyDescent="0.3">
      <c r="B46" t="s">
        <v>26</v>
      </c>
      <c r="C46" t="s">
        <v>27</v>
      </c>
      <c r="D46" t="s">
        <v>28</v>
      </c>
      <c r="E46" t="s">
        <v>29</v>
      </c>
      <c r="F46" t="s">
        <v>32</v>
      </c>
      <c r="G46" t="s">
        <v>31</v>
      </c>
    </row>
    <row r="47" spans="1:7" x14ac:dyDescent="0.3">
      <c r="A47" t="s">
        <v>30</v>
      </c>
      <c r="C47" s="3">
        <v>0.12</v>
      </c>
      <c r="D47" s="3">
        <v>0.04</v>
      </c>
      <c r="E47" s="3">
        <v>0.4</v>
      </c>
      <c r="F47" s="3">
        <v>0.08</v>
      </c>
      <c r="G47" s="3">
        <v>0.05</v>
      </c>
    </row>
    <row r="48" spans="1:7" x14ac:dyDescent="0.3">
      <c r="A48" t="s">
        <v>7</v>
      </c>
      <c r="B48">
        <v>10000</v>
      </c>
      <c r="C48">
        <f>$B48*C$47</f>
        <v>1200</v>
      </c>
      <c r="D48">
        <f t="shared" ref="D48:G48" si="3">$B48*D$47</f>
        <v>400</v>
      </c>
      <c r="E48">
        <f t="shared" si="3"/>
        <v>4000</v>
      </c>
      <c r="F48">
        <f t="shared" si="3"/>
        <v>800</v>
      </c>
      <c r="G48">
        <f t="shared" si="3"/>
        <v>500</v>
      </c>
    </row>
    <row r="49" spans="1:9" x14ac:dyDescent="0.3">
      <c r="A49" t="s">
        <v>8</v>
      </c>
      <c r="B49">
        <v>12000</v>
      </c>
      <c r="C49">
        <f t="shared" ref="C49:G52" si="4">$B49*C$47</f>
        <v>1440</v>
      </c>
      <c r="D49">
        <f t="shared" si="4"/>
        <v>480</v>
      </c>
      <c r="E49">
        <f t="shared" si="4"/>
        <v>4800</v>
      </c>
      <c r="F49">
        <f t="shared" si="4"/>
        <v>960</v>
      </c>
      <c r="G49">
        <f t="shared" si="4"/>
        <v>600</v>
      </c>
    </row>
    <row r="50" spans="1:9" x14ac:dyDescent="0.3">
      <c r="A50" t="s">
        <v>9</v>
      </c>
      <c r="B50">
        <v>13000</v>
      </c>
      <c r="C50">
        <f t="shared" si="4"/>
        <v>1560</v>
      </c>
      <c r="D50">
        <f t="shared" si="4"/>
        <v>520</v>
      </c>
      <c r="E50">
        <f t="shared" si="4"/>
        <v>5200</v>
      </c>
      <c r="F50">
        <f t="shared" si="4"/>
        <v>1040</v>
      </c>
      <c r="G50">
        <f t="shared" si="4"/>
        <v>650</v>
      </c>
    </row>
    <row r="51" spans="1:9" x14ac:dyDescent="0.3">
      <c r="A51" t="s">
        <v>10</v>
      </c>
      <c r="B51">
        <v>15000</v>
      </c>
      <c r="C51">
        <f t="shared" si="4"/>
        <v>1800</v>
      </c>
      <c r="D51">
        <f t="shared" si="4"/>
        <v>600</v>
      </c>
      <c r="E51">
        <f t="shared" si="4"/>
        <v>6000</v>
      </c>
      <c r="F51">
        <f t="shared" si="4"/>
        <v>1200</v>
      </c>
      <c r="G51">
        <f t="shared" si="4"/>
        <v>750</v>
      </c>
    </row>
    <row r="52" spans="1:9" x14ac:dyDescent="0.3">
      <c r="A52" t="s">
        <v>11</v>
      </c>
      <c r="B52">
        <v>16000</v>
      </c>
      <c r="C52">
        <f t="shared" si="4"/>
        <v>1920</v>
      </c>
      <c r="D52">
        <f t="shared" si="4"/>
        <v>640</v>
      </c>
      <c r="E52">
        <f t="shared" si="4"/>
        <v>6400</v>
      </c>
      <c r="F52">
        <f t="shared" si="4"/>
        <v>1280</v>
      </c>
      <c r="G52">
        <f t="shared" si="4"/>
        <v>800</v>
      </c>
    </row>
    <row r="54" spans="1:9" ht="18.600000000000001" thickBot="1" x14ac:dyDescent="0.4">
      <c r="I54" s="6" t="s">
        <v>42</v>
      </c>
    </row>
    <row r="55" spans="1:9" x14ac:dyDescent="0.3">
      <c r="A55" t="s">
        <v>41</v>
      </c>
      <c r="E55" t="s">
        <v>40</v>
      </c>
      <c r="I55" s="7"/>
    </row>
    <row r="56" spans="1:9" x14ac:dyDescent="0.3">
      <c r="I56" s="8"/>
    </row>
    <row r="57" spans="1:9" x14ac:dyDescent="0.3">
      <c r="A57" s="1" t="s">
        <v>0</v>
      </c>
      <c r="E57">
        <v>10000</v>
      </c>
      <c r="I57" s="8"/>
    </row>
    <row r="58" spans="1:9" x14ac:dyDescent="0.3">
      <c r="A58" t="s">
        <v>2</v>
      </c>
      <c r="E58">
        <v>12000</v>
      </c>
      <c r="I58" s="8"/>
    </row>
    <row r="59" spans="1:9" x14ac:dyDescent="0.3">
      <c r="A59" t="s">
        <v>3</v>
      </c>
      <c r="E59">
        <v>13000</v>
      </c>
      <c r="I59" s="8"/>
    </row>
    <row r="60" spans="1:9" x14ac:dyDescent="0.3">
      <c r="A60" t="s">
        <v>4</v>
      </c>
      <c r="E60">
        <v>15000</v>
      </c>
      <c r="I60" s="8"/>
    </row>
    <row r="61" spans="1:9" x14ac:dyDescent="0.3">
      <c r="A61" t="s">
        <v>5</v>
      </c>
      <c r="E61">
        <v>16000</v>
      </c>
      <c r="I61" s="8"/>
    </row>
    <row r="62" spans="1:9" x14ac:dyDescent="0.3">
      <c r="A62" t="s">
        <v>6</v>
      </c>
      <c r="I62" s="8"/>
    </row>
    <row r="63" spans="1:9" x14ac:dyDescent="0.3">
      <c r="A63" t="s">
        <v>7</v>
      </c>
      <c r="I63" s="8"/>
    </row>
    <row r="64" spans="1:9" x14ac:dyDescent="0.3">
      <c r="A64" t="s">
        <v>8</v>
      </c>
      <c r="I64" s="8"/>
    </row>
    <row r="65" spans="1:9" ht="15" thickBot="1" x14ac:dyDescent="0.35">
      <c r="A65" t="s">
        <v>9</v>
      </c>
      <c r="I65" s="9"/>
    </row>
    <row r="66" spans="1:9" x14ac:dyDescent="0.3">
      <c r="A66" t="s">
        <v>10</v>
      </c>
    </row>
    <row r="67" spans="1:9" x14ac:dyDescent="0.3">
      <c r="A67" t="s">
        <v>11</v>
      </c>
    </row>
    <row r="69" spans="1:9" x14ac:dyDescent="0.3">
      <c r="B69" s="12" t="s">
        <v>114</v>
      </c>
      <c r="C69" t="s">
        <v>115</v>
      </c>
    </row>
    <row r="70" spans="1:9" x14ac:dyDescent="0.3">
      <c r="B70" s="12"/>
      <c r="C70" t="s">
        <v>116</v>
      </c>
    </row>
    <row r="71" spans="1:9" x14ac:dyDescent="0.3">
      <c r="B71" s="12" t="s">
        <v>117</v>
      </c>
      <c r="C71" t="s">
        <v>118</v>
      </c>
    </row>
    <row r="72" spans="1:9" x14ac:dyDescent="0.3">
      <c r="B72" s="12" t="s">
        <v>119</v>
      </c>
      <c r="C72" t="s">
        <v>120</v>
      </c>
    </row>
    <row r="73" spans="1:9" x14ac:dyDescent="0.3">
      <c r="B73" s="12" t="s">
        <v>121</v>
      </c>
      <c r="C73" t="s">
        <v>122</v>
      </c>
    </row>
    <row r="74" spans="1:9" x14ac:dyDescent="0.3">
      <c r="B74" s="12" t="s">
        <v>123</v>
      </c>
      <c r="C74" t="s">
        <v>124</v>
      </c>
    </row>
    <row r="75" spans="1:9" x14ac:dyDescent="0.3">
      <c r="B75" s="12" t="s">
        <v>125</v>
      </c>
      <c r="C75" t="s">
        <v>126</v>
      </c>
    </row>
    <row r="78" spans="1:9" x14ac:dyDescent="0.3">
      <c r="B78" t="s">
        <v>155</v>
      </c>
    </row>
    <row r="80" spans="1:9" x14ac:dyDescent="0.3">
      <c r="B80" t="s">
        <v>156</v>
      </c>
      <c r="C80" t="s">
        <v>157</v>
      </c>
      <c r="D80" t="s">
        <v>157</v>
      </c>
      <c r="E80" t="s">
        <v>158</v>
      </c>
    </row>
    <row r="81" spans="2:6" x14ac:dyDescent="0.3">
      <c r="B81" t="s">
        <v>159</v>
      </c>
      <c r="C81">
        <v>25</v>
      </c>
      <c r="D81">
        <v>45</v>
      </c>
      <c r="F81" t="s">
        <v>114</v>
      </c>
    </row>
    <row r="82" spans="2:6" x14ac:dyDescent="0.3">
      <c r="B82" t="s">
        <v>160</v>
      </c>
      <c r="C82">
        <v>25</v>
      </c>
      <c r="D82">
        <v>45</v>
      </c>
      <c r="F82" t="s">
        <v>161</v>
      </c>
    </row>
    <row r="83" spans="2:6" x14ac:dyDescent="0.3">
      <c r="B83" t="s">
        <v>162</v>
      </c>
      <c r="C83">
        <v>25</v>
      </c>
      <c r="D83">
        <v>45</v>
      </c>
      <c r="F83" t="s">
        <v>163</v>
      </c>
    </row>
    <row r="84" spans="2:6" x14ac:dyDescent="0.3">
      <c r="B84" t="s">
        <v>164</v>
      </c>
      <c r="C84">
        <v>25</v>
      </c>
      <c r="D84">
        <v>45</v>
      </c>
      <c r="F84" t="s">
        <v>165</v>
      </c>
    </row>
    <row r="85" spans="2:6" x14ac:dyDescent="0.3">
      <c r="B85" t="s">
        <v>166</v>
      </c>
      <c r="C85">
        <v>25</v>
      </c>
      <c r="D85">
        <v>45</v>
      </c>
      <c r="F85" t="s">
        <v>167</v>
      </c>
    </row>
    <row r="86" spans="2:6" x14ac:dyDescent="0.3">
      <c r="B86" t="s">
        <v>168</v>
      </c>
      <c r="C86">
        <v>25</v>
      </c>
      <c r="D86">
        <v>45</v>
      </c>
      <c r="F86" t="s">
        <v>169</v>
      </c>
    </row>
    <row r="89" spans="2:6" x14ac:dyDescent="0.3">
      <c r="B89" t="s">
        <v>158</v>
      </c>
    </row>
    <row r="90" spans="2:6" x14ac:dyDescent="0.3">
      <c r="E90" t="s">
        <v>170</v>
      </c>
    </row>
    <row r="91" spans="2:6" x14ac:dyDescent="0.3">
      <c r="B91" t="s">
        <v>171</v>
      </c>
      <c r="E91" t="s">
        <v>172</v>
      </c>
    </row>
    <row r="92" spans="2:6" x14ac:dyDescent="0.3">
      <c r="E92" t="s">
        <v>173</v>
      </c>
    </row>
    <row r="93" spans="2:6" x14ac:dyDescent="0.3">
      <c r="E93" t="s">
        <v>174</v>
      </c>
    </row>
    <row r="94" spans="2:6" x14ac:dyDescent="0.3">
      <c r="E94" t="s">
        <v>175</v>
      </c>
    </row>
    <row r="95" spans="2:6" x14ac:dyDescent="0.3">
      <c r="E95" t="s">
        <v>176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0B62-6AA0-4C81-A245-E32AB7620B1F}">
  <dimension ref="A2:M102"/>
  <sheetViews>
    <sheetView workbookViewId="0">
      <selection activeCell="K8" sqref="K8"/>
    </sheetView>
  </sheetViews>
  <sheetFormatPr defaultRowHeight="14.4" x14ac:dyDescent="0.3"/>
  <cols>
    <col min="2" max="2" width="10.33203125" bestFit="1" customWidth="1"/>
    <col min="3" max="3" width="12" customWidth="1"/>
    <col min="4" max="4" width="11" customWidth="1"/>
    <col min="5" max="5" width="12.5546875" customWidth="1"/>
    <col min="6" max="6" width="7" bestFit="1" customWidth="1"/>
    <col min="7" max="7" width="5.21875" bestFit="1" customWidth="1"/>
    <col min="8" max="8" width="10.5546875" bestFit="1" customWidth="1"/>
  </cols>
  <sheetData>
    <row r="2" spans="1:11" x14ac:dyDescent="0.3">
      <c r="A2" s="11" t="s">
        <v>0</v>
      </c>
      <c r="B2" s="11" t="s">
        <v>132</v>
      </c>
      <c r="C2" s="11" t="s">
        <v>133</v>
      </c>
      <c r="D2" s="11" t="s">
        <v>134</v>
      </c>
      <c r="E2" s="11" t="s">
        <v>135</v>
      </c>
      <c r="F2" s="11" t="s">
        <v>136</v>
      </c>
      <c r="G2" s="11" t="s">
        <v>18</v>
      </c>
      <c r="H2" s="11" t="s">
        <v>44</v>
      </c>
      <c r="I2" s="11" t="s">
        <v>45</v>
      </c>
      <c r="K2" t="s">
        <v>139</v>
      </c>
    </row>
    <row r="3" spans="1:11" x14ac:dyDescent="0.3">
      <c r="A3" s="11" t="s">
        <v>2</v>
      </c>
      <c r="B3" s="11">
        <v>82</v>
      </c>
      <c r="C3" s="11">
        <v>87</v>
      </c>
      <c r="D3" s="11">
        <v>84</v>
      </c>
      <c r="E3" s="11">
        <v>88</v>
      </c>
      <c r="F3" s="11">
        <v>70</v>
      </c>
      <c r="G3" s="11">
        <f>SUM(B3:F3)</f>
        <v>411</v>
      </c>
      <c r="H3" s="11">
        <f>G3/5</f>
        <v>82.2</v>
      </c>
      <c r="I3" s="11" t="str">
        <f>IF(H3&gt;=70,"Pass","Fail")</f>
        <v>Pass</v>
      </c>
      <c r="K3" t="s">
        <v>137</v>
      </c>
    </row>
    <row r="4" spans="1:11" x14ac:dyDescent="0.3">
      <c r="A4" s="11" t="s">
        <v>10</v>
      </c>
      <c r="B4" s="11">
        <v>86</v>
      </c>
      <c r="C4" s="11">
        <v>54</v>
      </c>
      <c r="D4" s="11">
        <v>72</v>
      </c>
      <c r="E4" s="11">
        <v>60</v>
      </c>
      <c r="F4" s="11">
        <v>86</v>
      </c>
      <c r="G4" s="11">
        <f t="shared" ref="G4:G12" si="0">SUM(B4:F4)</f>
        <v>358</v>
      </c>
      <c r="H4" s="11">
        <f t="shared" ref="H4:H12" si="1">G4/5</f>
        <v>71.599999999999994</v>
      </c>
      <c r="I4" s="11" t="str">
        <f t="shared" ref="I4:I12" si="2">IF(H4&gt;=70,"Pass","Fail")</f>
        <v>Pass</v>
      </c>
      <c r="K4" t="s">
        <v>138</v>
      </c>
    </row>
    <row r="5" spans="1:11" x14ac:dyDescent="0.3">
      <c r="A5" s="11" t="s">
        <v>4</v>
      </c>
      <c r="B5" s="11">
        <v>71</v>
      </c>
      <c r="C5" s="11">
        <v>56</v>
      </c>
      <c r="D5" s="11">
        <v>91</v>
      </c>
      <c r="E5" s="11">
        <v>45</v>
      </c>
      <c r="F5" s="11">
        <v>81</v>
      </c>
      <c r="G5" s="11">
        <f t="shared" si="0"/>
        <v>344</v>
      </c>
      <c r="H5" s="11">
        <f t="shared" si="1"/>
        <v>68.8</v>
      </c>
      <c r="I5" s="11" t="str">
        <f t="shared" si="2"/>
        <v>Fail</v>
      </c>
    </row>
    <row r="6" spans="1:11" x14ac:dyDescent="0.3">
      <c r="A6" s="11" t="s">
        <v>5</v>
      </c>
      <c r="B6" s="11">
        <v>85</v>
      </c>
      <c r="C6" s="11">
        <v>91</v>
      </c>
      <c r="D6" s="11">
        <v>56</v>
      </c>
      <c r="E6" s="11">
        <v>91</v>
      </c>
      <c r="F6" s="11">
        <v>83</v>
      </c>
      <c r="G6" s="11">
        <f t="shared" si="0"/>
        <v>406</v>
      </c>
      <c r="H6" s="11">
        <f t="shared" si="1"/>
        <v>81.2</v>
      </c>
      <c r="I6" s="11" t="str">
        <f t="shared" si="2"/>
        <v>Pass</v>
      </c>
    </row>
    <row r="7" spans="1:11" x14ac:dyDescent="0.3">
      <c r="A7" s="11" t="s">
        <v>5</v>
      </c>
      <c r="B7" s="11">
        <v>85</v>
      </c>
      <c r="C7" s="11">
        <v>53</v>
      </c>
      <c r="D7" s="11">
        <v>59</v>
      </c>
      <c r="E7" s="11">
        <v>88</v>
      </c>
      <c r="F7" s="11">
        <v>66</v>
      </c>
      <c r="G7" s="11">
        <f t="shared" si="0"/>
        <v>351</v>
      </c>
      <c r="H7" s="11">
        <f t="shared" si="1"/>
        <v>70.2</v>
      </c>
      <c r="I7" s="11" t="str">
        <f t="shared" si="2"/>
        <v>Pass</v>
      </c>
    </row>
    <row r="8" spans="1:11" x14ac:dyDescent="0.3">
      <c r="A8" s="11" t="s">
        <v>7</v>
      </c>
      <c r="B8" s="11">
        <v>46</v>
      </c>
      <c r="C8" s="11">
        <v>99</v>
      </c>
      <c r="D8" s="11">
        <v>46</v>
      </c>
      <c r="E8" s="11">
        <v>91</v>
      </c>
      <c r="F8" s="11">
        <v>64</v>
      </c>
      <c r="G8" s="11">
        <f t="shared" si="0"/>
        <v>346</v>
      </c>
      <c r="H8" s="11">
        <f t="shared" si="1"/>
        <v>69.2</v>
      </c>
      <c r="I8" s="11" t="str">
        <f t="shared" si="2"/>
        <v>Fail</v>
      </c>
    </row>
    <row r="9" spans="1:11" x14ac:dyDescent="0.3">
      <c r="A9" s="11" t="s">
        <v>8</v>
      </c>
      <c r="B9" s="11">
        <v>84</v>
      </c>
      <c r="C9" s="11">
        <v>100</v>
      </c>
      <c r="D9" s="11">
        <v>66</v>
      </c>
      <c r="E9" s="11">
        <v>60</v>
      </c>
      <c r="F9" s="11">
        <v>53</v>
      </c>
      <c r="G9" s="11">
        <f t="shared" si="0"/>
        <v>363</v>
      </c>
      <c r="H9" s="11">
        <f t="shared" si="1"/>
        <v>72.599999999999994</v>
      </c>
      <c r="I9" s="11" t="str">
        <f t="shared" si="2"/>
        <v>Pass</v>
      </c>
    </row>
    <row r="10" spans="1:11" x14ac:dyDescent="0.3">
      <c r="A10" s="11" t="s">
        <v>9</v>
      </c>
      <c r="B10" s="11">
        <v>63</v>
      </c>
      <c r="C10" s="11">
        <v>72</v>
      </c>
      <c r="D10" s="11">
        <v>88</v>
      </c>
      <c r="E10" s="11">
        <v>67</v>
      </c>
      <c r="F10" s="11">
        <v>84</v>
      </c>
      <c r="G10" s="11">
        <f t="shared" si="0"/>
        <v>374</v>
      </c>
      <c r="H10" s="11">
        <f t="shared" si="1"/>
        <v>74.8</v>
      </c>
      <c r="I10" s="11" t="str">
        <f t="shared" si="2"/>
        <v>Pass</v>
      </c>
    </row>
    <row r="11" spans="1:11" x14ac:dyDescent="0.3">
      <c r="A11" s="11" t="s">
        <v>10</v>
      </c>
      <c r="B11" s="11">
        <v>55</v>
      </c>
      <c r="C11" s="11">
        <v>45</v>
      </c>
      <c r="D11" s="11">
        <v>57</v>
      </c>
      <c r="E11" s="11">
        <v>89</v>
      </c>
      <c r="F11" s="11">
        <v>52</v>
      </c>
      <c r="G11" s="11">
        <f t="shared" si="0"/>
        <v>298</v>
      </c>
      <c r="H11" s="11">
        <f t="shared" si="1"/>
        <v>59.6</v>
      </c>
      <c r="I11" s="11" t="str">
        <f t="shared" si="2"/>
        <v>Fail</v>
      </c>
    </row>
    <row r="12" spans="1:11" x14ac:dyDescent="0.3">
      <c r="A12" s="11" t="s">
        <v>11</v>
      </c>
      <c r="B12" s="11">
        <v>67</v>
      </c>
      <c r="C12" s="11">
        <v>85</v>
      </c>
      <c r="D12" s="11">
        <v>60</v>
      </c>
      <c r="E12" s="11">
        <v>61</v>
      </c>
      <c r="F12" s="11">
        <v>89</v>
      </c>
      <c r="G12" s="11">
        <f t="shared" si="0"/>
        <v>362</v>
      </c>
      <c r="H12" s="11">
        <f t="shared" si="1"/>
        <v>72.400000000000006</v>
      </c>
      <c r="I12" s="11" t="str">
        <f t="shared" si="2"/>
        <v>Pass</v>
      </c>
    </row>
    <row r="14" spans="1:11" x14ac:dyDescent="0.3">
      <c r="A14" s="11" t="s">
        <v>0</v>
      </c>
      <c r="B14" s="11" t="s">
        <v>132</v>
      </c>
      <c r="C14" s="11" t="s">
        <v>133</v>
      </c>
      <c r="D14" s="11" t="s">
        <v>134</v>
      </c>
      <c r="E14" s="11" t="s">
        <v>135</v>
      </c>
      <c r="F14" s="11" t="s">
        <v>136</v>
      </c>
      <c r="G14" s="11" t="s">
        <v>18</v>
      </c>
      <c r="H14" s="11" t="s">
        <v>44</v>
      </c>
      <c r="I14" s="11" t="s">
        <v>45</v>
      </c>
      <c r="K14" t="s">
        <v>140</v>
      </c>
    </row>
    <row r="15" spans="1:11" x14ac:dyDescent="0.3">
      <c r="A15" s="11" t="s">
        <v>2</v>
      </c>
      <c r="B15" s="11">
        <v>82</v>
      </c>
      <c r="C15" s="11">
        <v>87</v>
      </c>
      <c r="D15" s="11">
        <v>84</v>
      </c>
      <c r="E15" s="11">
        <v>88</v>
      </c>
      <c r="F15" s="11">
        <v>70</v>
      </c>
      <c r="G15" s="11">
        <f>SUM(B15:F15)</f>
        <v>411</v>
      </c>
      <c r="H15" s="11">
        <f>G15/5</f>
        <v>82.2</v>
      </c>
      <c r="I15" s="11" t="str">
        <f>IF(H15&gt;=70,"Pass","Fail")</f>
        <v>Pass</v>
      </c>
      <c r="K15" t="s">
        <v>141</v>
      </c>
    </row>
    <row r="16" spans="1:11" x14ac:dyDescent="0.3">
      <c r="A16" s="11" t="s">
        <v>10</v>
      </c>
      <c r="B16" s="11">
        <v>86</v>
      </c>
      <c r="C16" s="11">
        <v>54</v>
      </c>
      <c r="D16" s="11">
        <v>72</v>
      </c>
      <c r="E16" s="11">
        <v>60</v>
      </c>
      <c r="F16" s="11">
        <v>86</v>
      </c>
      <c r="G16" s="11">
        <f t="shared" ref="G16:G24" si="3">SUM(B16:F16)</f>
        <v>358</v>
      </c>
      <c r="H16" s="11">
        <f t="shared" ref="H16:H24" si="4">G16/5</f>
        <v>71.599999999999994</v>
      </c>
      <c r="I16" s="11" t="str">
        <f t="shared" ref="I16:I24" si="5">IF(H16&gt;=70,"Pass","Fail")</f>
        <v>Pass</v>
      </c>
      <c r="K16" t="s">
        <v>143</v>
      </c>
    </row>
    <row r="17" spans="1:10" x14ac:dyDescent="0.3">
      <c r="A17" s="11" t="s">
        <v>4</v>
      </c>
      <c r="B17" s="11">
        <v>71</v>
      </c>
      <c r="C17" s="11">
        <v>56</v>
      </c>
      <c r="D17" s="11">
        <v>91</v>
      </c>
      <c r="E17" s="11">
        <v>45</v>
      </c>
      <c r="F17" s="11">
        <v>81</v>
      </c>
      <c r="G17" s="11">
        <f t="shared" si="3"/>
        <v>344</v>
      </c>
      <c r="H17" s="11">
        <f t="shared" si="4"/>
        <v>68.8</v>
      </c>
      <c r="I17" s="11" t="str">
        <f t="shared" si="5"/>
        <v>Fail</v>
      </c>
    </row>
    <row r="18" spans="1:10" x14ac:dyDescent="0.3">
      <c r="A18" s="11" t="s">
        <v>5</v>
      </c>
      <c r="B18" s="11">
        <v>85</v>
      </c>
      <c r="C18" s="11">
        <v>91</v>
      </c>
      <c r="D18" s="11">
        <v>56</v>
      </c>
      <c r="E18" s="11">
        <v>91</v>
      </c>
      <c r="F18" s="11">
        <v>83</v>
      </c>
      <c r="G18" s="11">
        <f t="shared" si="3"/>
        <v>406</v>
      </c>
      <c r="H18" s="11">
        <f t="shared" si="4"/>
        <v>81.2</v>
      </c>
      <c r="I18" s="11" t="str">
        <f t="shared" si="5"/>
        <v>Pass</v>
      </c>
    </row>
    <row r="19" spans="1:10" x14ac:dyDescent="0.3">
      <c r="A19" s="11" t="s">
        <v>5</v>
      </c>
      <c r="B19" s="11">
        <v>85</v>
      </c>
      <c r="C19" s="11">
        <v>53</v>
      </c>
      <c r="D19" s="11">
        <v>59</v>
      </c>
      <c r="E19" s="11">
        <v>88</v>
      </c>
      <c r="F19" s="11">
        <v>66</v>
      </c>
      <c r="G19" s="11">
        <f t="shared" si="3"/>
        <v>351</v>
      </c>
      <c r="H19" s="11">
        <f t="shared" si="4"/>
        <v>70.2</v>
      </c>
      <c r="I19" s="11" t="str">
        <f t="shared" si="5"/>
        <v>Pass</v>
      </c>
    </row>
    <row r="20" spans="1:10" x14ac:dyDescent="0.3">
      <c r="A20" s="11" t="s">
        <v>7</v>
      </c>
      <c r="B20" s="11">
        <v>46</v>
      </c>
      <c r="C20" s="11">
        <v>99</v>
      </c>
      <c r="D20" s="11">
        <v>46</v>
      </c>
      <c r="E20" s="11">
        <v>91</v>
      </c>
      <c r="F20" s="11">
        <v>64</v>
      </c>
      <c r="G20" s="11">
        <f t="shared" si="3"/>
        <v>346</v>
      </c>
      <c r="H20" s="11">
        <f t="shared" si="4"/>
        <v>69.2</v>
      </c>
      <c r="I20" s="11" t="str">
        <f t="shared" si="5"/>
        <v>Fail</v>
      </c>
    </row>
    <row r="21" spans="1:10" x14ac:dyDescent="0.3">
      <c r="A21" s="11" t="s">
        <v>8</v>
      </c>
      <c r="B21" s="11">
        <v>84</v>
      </c>
      <c r="C21" s="11">
        <v>100</v>
      </c>
      <c r="D21" s="11">
        <v>66</v>
      </c>
      <c r="E21" s="11">
        <v>60</v>
      </c>
      <c r="F21" s="11">
        <v>53</v>
      </c>
      <c r="G21" s="11">
        <f t="shared" si="3"/>
        <v>363</v>
      </c>
      <c r="H21" s="11">
        <f t="shared" si="4"/>
        <v>72.599999999999994</v>
      </c>
      <c r="I21" s="11" t="str">
        <f t="shared" si="5"/>
        <v>Pass</v>
      </c>
    </row>
    <row r="22" spans="1:10" x14ac:dyDescent="0.3">
      <c r="A22" s="11" t="s">
        <v>9</v>
      </c>
      <c r="B22" s="11">
        <v>63</v>
      </c>
      <c r="C22" s="11">
        <v>72</v>
      </c>
      <c r="D22" s="11">
        <v>88</v>
      </c>
      <c r="E22" s="11">
        <v>67</v>
      </c>
      <c r="F22" s="11">
        <v>84</v>
      </c>
      <c r="G22" s="11">
        <f t="shared" si="3"/>
        <v>374</v>
      </c>
      <c r="H22" s="11">
        <f t="shared" si="4"/>
        <v>74.8</v>
      </c>
      <c r="I22" s="11" t="str">
        <f t="shared" si="5"/>
        <v>Pass</v>
      </c>
    </row>
    <row r="23" spans="1:10" x14ac:dyDescent="0.3">
      <c r="A23" s="11" t="s">
        <v>10</v>
      </c>
      <c r="B23" s="11">
        <v>55</v>
      </c>
      <c r="C23" s="11">
        <v>45</v>
      </c>
      <c r="D23" s="11">
        <v>57</v>
      </c>
      <c r="E23" s="11">
        <v>89</v>
      </c>
      <c r="F23" s="11">
        <v>52</v>
      </c>
      <c r="G23" s="11">
        <f t="shared" si="3"/>
        <v>298</v>
      </c>
      <c r="H23" s="11">
        <f t="shared" si="4"/>
        <v>59.6</v>
      </c>
      <c r="I23" s="11" t="str">
        <f t="shared" si="5"/>
        <v>Fail</v>
      </c>
    </row>
    <row r="24" spans="1:10" x14ac:dyDescent="0.3">
      <c r="A24" s="11" t="s">
        <v>11</v>
      </c>
      <c r="B24" s="11">
        <v>67</v>
      </c>
      <c r="C24" s="11">
        <v>85</v>
      </c>
      <c r="D24" s="11">
        <v>60</v>
      </c>
      <c r="E24" s="11">
        <v>61</v>
      </c>
      <c r="F24" s="11">
        <v>89</v>
      </c>
      <c r="G24" s="11">
        <f t="shared" si="3"/>
        <v>362</v>
      </c>
      <c r="H24" s="11">
        <f t="shared" si="4"/>
        <v>72.400000000000006</v>
      </c>
      <c r="I24" s="11" t="str">
        <f t="shared" si="5"/>
        <v>Pass</v>
      </c>
    </row>
    <row r="26" spans="1:10" x14ac:dyDescent="0.3">
      <c r="B26" s="10">
        <v>45672</v>
      </c>
      <c r="C26" s="10">
        <v>45687</v>
      </c>
      <c r="D26" s="10">
        <v>45697</v>
      </c>
      <c r="E26" s="10">
        <v>45710</v>
      </c>
      <c r="J26" t="s">
        <v>142</v>
      </c>
    </row>
    <row r="27" spans="1:10" x14ac:dyDescent="0.3">
      <c r="B27" s="10">
        <v>45673</v>
      </c>
      <c r="C27" s="10">
        <v>45688</v>
      </c>
      <c r="D27" s="10">
        <v>45698</v>
      </c>
      <c r="E27" s="10">
        <v>45711</v>
      </c>
    </row>
    <row r="28" spans="1:10" x14ac:dyDescent="0.3">
      <c r="B28" s="10">
        <v>45674</v>
      </c>
      <c r="C28" s="10">
        <v>45689</v>
      </c>
      <c r="D28" s="10">
        <v>45699</v>
      </c>
      <c r="E28" s="10">
        <v>45712</v>
      </c>
    </row>
    <row r="29" spans="1:10" x14ac:dyDescent="0.3">
      <c r="B29" s="10">
        <v>45675</v>
      </c>
      <c r="C29" s="10">
        <v>45690</v>
      </c>
      <c r="D29" s="10">
        <v>45700</v>
      </c>
      <c r="E29" s="10">
        <v>45713</v>
      </c>
    </row>
    <row r="30" spans="1:10" x14ac:dyDescent="0.3">
      <c r="B30" s="10">
        <v>45676</v>
      </c>
      <c r="C30" s="10">
        <v>45691</v>
      </c>
      <c r="D30" s="10">
        <v>45701</v>
      </c>
      <c r="E30" s="10">
        <v>45714</v>
      </c>
    </row>
    <row r="31" spans="1:10" x14ac:dyDescent="0.3">
      <c r="B31" s="10">
        <v>45677</v>
      </c>
      <c r="C31" s="10">
        <v>45692</v>
      </c>
      <c r="D31" s="10">
        <v>45702</v>
      </c>
      <c r="E31" s="10">
        <v>45715</v>
      </c>
    </row>
    <row r="32" spans="1:10" x14ac:dyDescent="0.3">
      <c r="B32" s="10">
        <v>45678</v>
      </c>
      <c r="C32" s="10">
        <v>45693</v>
      </c>
      <c r="D32" s="10">
        <v>45703</v>
      </c>
      <c r="E32" s="10">
        <v>45716</v>
      </c>
    </row>
    <row r="33" spans="2:13" x14ac:dyDescent="0.3">
      <c r="B33" s="10">
        <v>45679</v>
      </c>
      <c r="C33" s="10">
        <v>45694</v>
      </c>
      <c r="D33" s="10">
        <v>45704</v>
      </c>
      <c r="E33" s="10">
        <v>45717</v>
      </c>
    </row>
    <row r="34" spans="2:13" x14ac:dyDescent="0.3">
      <c r="B34" s="10">
        <v>45680</v>
      </c>
      <c r="C34" s="10">
        <v>45695</v>
      </c>
      <c r="D34" s="10">
        <v>45705</v>
      </c>
      <c r="E34" s="10">
        <v>45718</v>
      </c>
    </row>
    <row r="35" spans="2:13" x14ac:dyDescent="0.3">
      <c r="B35" s="10">
        <v>45681</v>
      </c>
      <c r="C35" s="10">
        <v>45696</v>
      </c>
      <c r="D35" s="10">
        <v>45706</v>
      </c>
      <c r="E35" s="10">
        <v>45719</v>
      </c>
    </row>
    <row r="36" spans="2:13" x14ac:dyDescent="0.3">
      <c r="B36" s="10">
        <v>45682</v>
      </c>
      <c r="C36" s="10">
        <v>45685</v>
      </c>
      <c r="D36" s="10">
        <v>45707</v>
      </c>
      <c r="E36" s="10">
        <v>45720</v>
      </c>
    </row>
    <row r="37" spans="2:13" x14ac:dyDescent="0.3">
      <c r="B37" s="10">
        <v>45683</v>
      </c>
      <c r="C37" s="10">
        <v>45686</v>
      </c>
      <c r="D37" s="10">
        <v>45708</v>
      </c>
      <c r="E37" s="10">
        <v>45721</v>
      </c>
    </row>
    <row r="38" spans="2:13" x14ac:dyDescent="0.3">
      <c r="B38" s="10">
        <v>45684</v>
      </c>
      <c r="C38" s="10">
        <v>45723</v>
      </c>
      <c r="D38" s="10">
        <v>45709</v>
      </c>
      <c r="E38" s="10">
        <v>45722</v>
      </c>
    </row>
    <row r="41" spans="2:13" x14ac:dyDescent="0.3">
      <c r="B41" s="15">
        <v>1</v>
      </c>
      <c r="C41" s="15">
        <v>2</v>
      </c>
      <c r="D41" s="15">
        <v>3</v>
      </c>
      <c r="E41" s="15">
        <v>4</v>
      </c>
      <c r="F41" s="15">
        <v>5</v>
      </c>
      <c r="G41" s="15">
        <v>6</v>
      </c>
      <c r="H41" s="15">
        <v>7</v>
      </c>
      <c r="I41" s="15">
        <v>8</v>
      </c>
      <c r="J41" s="15">
        <v>9</v>
      </c>
      <c r="K41" s="15">
        <v>10</v>
      </c>
      <c r="M41" t="s">
        <v>144</v>
      </c>
    </row>
    <row r="42" spans="2:13" x14ac:dyDescent="0.3">
      <c r="B42" s="15">
        <v>11</v>
      </c>
      <c r="C42" s="15">
        <v>12</v>
      </c>
      <c r="D42" s="15">
        <v>13</v>
      </c>
      <c r="E42" s="15">
        <v>14</v>
      </c>
      <c r="F42" s="15">
        <v>15</v>
      </c>
      <c r="G42" s="15">
        <v>16</v>
      </c>
      <c r="H42" s="15">
        <v>17</v>
      </c>
      <c r="I42" s="15">
        <v>18</v>
      </c>
      <c r="J42" s="15">
        <v>19</v>
      </c>
      <c r="K42" s="15">
        <v>20</v>
      </c>
    </row>
    <row r="43" spans="2:13" x14ac:dyDescent="0.3">
      <c r="B43" s="15">
        <v>21</v>
      </c>
      <c r="C43" s="15">
        <v>22</v>
      </c>
      <c r="D43" s="15">
        <v>23</v>
      </c>
      <c r="E43" s="15">
        <v>24</v>
      </c>
      <c r="F43" s="15">
        <v>25</v>
      </c>
      <c r="G43" s="15">
        <v>26</v>
      </c>
      <c r="H43" s="15">
        <v>27</v>
      </c>
      <c r="I43" s="15">
        <v>28</v>
      </c>
      <c r="J43" s="15">
        <v>29</v>
      </c>
      <c r="K43" s="15">
        <v>30</v>
      </c>
    </row>
    <row r="44" spans="2:13" x14ac:dyDescent="0.3">
      <c r="B44" s="15">
        <v>31</v>
      </c>
      <c r="C44" s="15">
        <v>32</v>
      </c>
      <c r="D44" s="15">
        <v>33</v>
      </c>
      <c r="E44" s="15">
        <v>34</v>
      </c>
      <c r="F44" s="15">
        <v>35</v>
      </c>
      <c r="G44" s="15">
        <v>36</v>
      </c>
      <c r="H44" s="15">
        <v>37</v>
      </c>
      <c r="I44" s="15">
        <v>38</v>
      </c>
      <c r="J44" s="15">
        <v>39</v>
      </c>
      <c r="K44" s="15">
        <v>40</v>
      </c>
    </row>
    <row r="45" spans="2:13" x14ac:dyDescent="0.3">
      <c r="B45" s="15">
        <v>41</v>
      </c>
      <c r="C45" s="15">
        <v>42</v>
      </c>
      <c r="D45" s="15">
        <v>43</v>
      </c>
      <c r="E45" s="15">
        <v>44</v>
      </c>
      <c r="F45" s="15">
        <v>45</v>
      </c>
      <c r="G45" s="15">
        <v>46</v>
      </c>
      <c r="H45" s="15">
        <v>47</v>
      </c>
      <c r="I45" s="15">
        <v>48</v>
      </c>
      <c r="J45" s="15">
        <v>49</v>
      </c>
      <c r="K45" s="15">
        <v>50</v>
      </c>
    </row>
    <row r="46" spans="2:13" x14ac:dyDescent="0.3">
      <c r="B46" s="15">
        <v>51</v>
      </c>
      <c r="C46" s="15">
        <v>52</v>
      </c>
      <c r="D46" s="15">
        <v>53</v>
      </c>
      <c r="E46" s="15">
        <v>54</v>
      </c>
      <c r="F46" s="15">
        <v>55</v>
      </c>
      <c r="G46" s="15">
        <v>56</v>
      </c>
      <c r="H46" s="15">
        <v>57</v>
      </c>
      <c r="I46" s="15">
        <v>58</v>
      </c>
      <c r="J46" s="15">
        <v>59</v>
      </c>
      <c r="K46" s="15">
        <v>60</v>
      </c>
    </row>
    <row r="47" spans="2:13" x14ac:dyDescent="0.3">
      <c r="B47" s="15">
        <v>61</v>
      </c>
      <c r="C47" s="15">
        <v>62</v>
      </c>
      <c r="D47" s="15">
        <v>63</v>
      </c>
      <c r="E47" s="15">
        <v>64</v>
      </c>
      <c r="F47" s="15">
        <v>65</v>
      </c>
      <c r="G47" s="15">
        <v>66</v>
      </c>
      <c r="H47" s="15">
        <v>67</v>
      </c>
      <c r="I47" s="15">
        <v>68</v>
      </c>
      <c r="J47" s="15">
        <v>69</v>
      </c>
      <c r="K47" s="15">
        <v>70</v>
      </c>
    </row>
    <row r="48" spans="2:13" x14ac:dyDescent="0.3">
      <c r="B48" s="15">
        <v>71</v>
      </c>
      <c r="C48" s="15">
        <v>72</v>
      </c>
      <c r="D48" s="15">
        <v>73</v>
      </c>
      <c r="E48" s="15">
        <v>74</v>
      </c>
      <c r="F48" s="15">
        <v>75</v>
      </c>
      <c r="G48" s="15">
        <v>76</v>
      </c>
      <c r="H48" s="15">
        <v>77</v>
      </c>
      <c r="I48" s="15">
        <v>78</v>
      </c>
      <c r="J48" s="15">
        <v>79</v>
      </c>
      <c r="K48" s="15">
        <v>80</v>
      </c>
    </row>
    <row r="49" spans="2:13" x14ac:dyDescent="0.3">
      <c r="B49" s="15">
        <v>81</v>
      </c>
      <c r="C49" s="15">
        <v>82</v>
      </c>
      <c r="D49" s="15">
        <v>83</v>
      </c>
      <c r="E49" s="15">
        <v>84</v>
      </c>
      <c r="F49" s="15">
        <v>85</v>
      </c>
      <c r="G49" s="15">
        <v>86</v>
      </c>
      <c r="H49" s="15">
        <v>87</v>
      </c>
      <c r="I49" s="15">
        <v>88</v>
      </c>
      <c r="J49" s="15">
        <v>89</v>
      </c>
      <c r="K49" s="15">
        <v>90</v>
      </c>
    </row>
    <row r="50" spans="2:13" x14ac:dyDescent="0.3">
      <c r="B50" s="15">
        <v>91</v>
      </c>
      <c r="C50" s="15">
        <v>92</v>
      </c>
      <c r="D50" s="15">
        <v>93</v>
      </c>
      <c r="E50" s="15">
        <v>94</v>
      </c>
      <c r="F50" s="15">
        <v>95</v>
      </c>
      <c r="G50" s="15">
        <v>96</v>
      </c>
      <c r="H50" s="15">
        <v>97</v>
      </c>
      <c r="I50" s="15">
        <v>98</v>
      </c>
      <c r="J50" s="15">
        <v>99</v>
      </c>
      <c r="K50" s="15">
        <v>100</v>
      </c>
    </row>
    <row r="51" spans="2:13" x14ac:dyDescent="0.3"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2:13" x14ac:dyDescent="0.3"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5" spans="2:13" x14ac:dyDescent="0.3">
      <c r="B55" s="15">
        <v>1</v>
      </c>
      <c r="C55" s="15">
        <v>2</v>
      </c>
      <c r="D55" s="15">
        <v>3</v>
      </c>
      <c r="E55" s="15">
        <v>4</v>
      </c>
      <c r="F55" s="15">
        <v>5</v>
      </c>
      <c r="G55" s="15">
        <v>6</v>
      </c>
      <c r="H55" s="15">
        <v>7</v>
      </c>
      <c r="I55" s="15">
        <v>8</v>
      </c>
      <c r="J55" s="15">
        <v>9</v>
      </c>
      <c r="K55" s="15">
        <v>10</v>
      </c>
      <c r="M55" t="s">
        <v>145</v>
      </c>
    </row>
    <row r="56" spans="2:13" x14ac:dyDescent="0.3">
      <c r="B56" s="15">
        <v>11</v>
      </c>
      <c r="C56" s="15">
        <v>12</v>
      </c>
      <c r="D56" s="15">
        <v>13</v>
      </c>
      <c r="E56" s="15">
        <v>14</v>
      </c>
      <c r="F56" s="15">
        <v>15</v>
      </c>
      <c r="G56" s="15">
        <v>16</v>
      </c>
      <c r="H56" s="15" t="e">
        <f>45/0</f>
        <v>#DIV/0!</v>
      </c>
      <c r="I56" s="15"/>
      <c r="J56" s="15">
        <v>19</v>
      </c>
      <c r="K56" s="15">
        <v>20</v>
      </c>
    </row>
    <row r="57" spans="2:13" x14ac:dyDescent="0.3">
      <c r="B57" s="15">
        <v>21</v>
      </c>
      <c r="C57" s="15">
        <v>22</v>
      </c>
      <c r="D57" s="15"/>
      <c r="E57" s="15">
        <v>24</v>
      </c>
      <c r="F57" s="15">
        <v>25</v>
      </c>
      <c r="G57" s="15">
        <v>26</v>
      </c>
      <c r="H57" s="15">
        <v>27</v>
      </c>
      <c r="I57" s="15">
        <v>28</v>
      </c>
      <c r="J57" s="15">
        <v>29</v>
      </c>
      <c r="K57" s="15">
        <v>30</v>
      </c>
    </row>
    <row r="58" spans="2:13" x14ac:dyDescent="0.3">
      <c r="B58" s="15"/>
      <c r="C58" s="15">
        <v>32</v>
      </c>
      <c r="D58" s="15">
        <v>33</v>
      </c>
      <c r="E58" s="15">
        <v>34</v>
      </c>
      <c r="F58" s="15">
        <v>35</v>
      </c>
      <c r="G58" s="15">
        <v>36</v>
      </c>
      <c r="H58" s="15">
        <v>37</v>
      </c>
      <c r="I58" s="15">
        <v>38</v>
      </c>
      <c r="J58" s="15">
        <v>39</v>
      </c>
      <c r="K58" s="15">
        <v>40</v>
      </c>
    </row>
    <row r="59" spans="2:13" x14ac:dyDescent="0.3">
      <c r="B59" s="15">
        <v>41</v>
      </c>
      <c r="C59" s="15">
        <v>42</v>
      </c>
      <c r="D59" s="15">
        <v>43</v>
      </c>
      <c r="E59" s="15">
        <v>44</v>
      </c>
      <c r="F59" s="15">
        <v>45</v>
      </c>
      <c r="G59" s="15"/>
      <c r="H59" s="15">
        <v>47</v>
      </c>
      <c r="I59" s="15">
        <v>48</v>
      </c>
      <c r="J59" s="15"/>
      <c r="K59" s="15">
        <v>50</v>
      </c>
    </row>
    <row r="60" spans="2:13" x14ac:dyDescent="0.3">
      <c r="B60" s="15">
        <v>51</v>
      </c>
      <c r="C60" s="15">
        <v>52</v>
      </c>
      <c r="D60" s="15" t="e">
        <f>45/0</f>
        <v>#DIV/0!</v>
      </c>
      <c r="E60" s="15">
        <v>54</v>
      </c>
      <c r="F60" s="15">
        <v>55</v>
      </c>
      <c r="G60" s="15">
        <v>56</v>
      </c>
      <c r="H60" s="15"/>
      <c r="I60" s="15">
        <v>58</v>
      </c>
      <c r="J60" s="15">
        <v>59</v>
      </c>
      <c r="K60" s="15">
        <v>60</v>
      </c>
    </row>
    <row r="61" spans="2:13" x14ac:dyDescent="0.3">
      <c r="B61" s="15">
        <v>61</v>
      </c>
      <c r="C61" s="15"/>
      <c r="D61" s="15">
        <v>63</v>
      </c>
      <c r="E61" s="15">
        <v>64</v>
      </c>
      <c r="F61" s="15">
        <v>65</v>
      </c>
      <c r="G61" s="15">
        <v>66</v>
      </c>
      <c r="H61" s="15">
        <v>67</v>
      </c>
      <c r="I61" s="15">
        <v>68</v>
      </c>
      <c r="J61" s="15" t="e">
        <f>45/0</f>
        <v>#DIV/0!</v>
      </c>
      <c r="K61" s="15">
        <v>70</v>
      </c>
    </row>
    <row r="62" spans="2:13" x14ac:dyDescent="0.3">
      <c r="B62" s="15">
        <v>71</v>
      </c>
      <c r="C62" s="15">
        <v>72</v>
      </c>
      <c r="D62" s="15">
        <v>73</v>
      </c>
      <c r="E62" s="15" t="e">
        <f>45/0</f>
        <v>#DIV/0!</v>
      </c>
      <c r="F62" s="15">
        <v>75</v>
      </c>
      <c r="G62" s="15">
        <v>76</v>
      </c>
      <c r="H62" s="15">
        <v>77</v>
      </c>
      <c r="I62" s="15"/>
      <c r="J62" s="15">
        <v>79</v>
      </c>
      <c r="K62" s="15">
        <v>80</v>
      </c>
    </row>
    <row r="63" spans="2:13" x14ac:dyDescent="0.3">
      <c r="B63" s="15">
        <v>81</v>
      </c>
      <c r="C63" s="15">
        <v>82</v>
      </c>
      <c r="D63" s="15">
        <v>83</v>
      </c>
      <c r="E63" s="15">
        <v>84</v>
      </c>
      <c r="F63" s="15">
        <v>85</v>
      </c>
      <c r="G63" s="15">
        <v>86</v>
      </c>
      <c r="H63" s="15">
        <v>87</v>
      </c>
      <c r="I63" s="15">
        <v>88</v>
      </c>
      <c r="J63" s="15">
        <v>89</v>
      </c>
      <c r="K63" s="15"/>
    </row>
    <row r="64" spans="2:13" x14ac:dyDescent="0.3">
      <c r="B64" s="15">
        <v>91</v>
      </c>
      <c r="C64" s="15">
        <v>92</v>
      </c>
      <c r="D64" s="15">
        <v>93</v>
      </c>
      <c r="E64" s="15">
        <v>94</v>
      </c>
      <c r="F64" s="15">
        <v>95</v>
      </c>
      <c r="G64" s="15">
        <v>96</v>
      </c>
      <c r="H64" s="15">
        <v>97</v>
      </c>
      <c r="I64" s="15">
        <v>98</v>
      </c>
      <c r="J64" s="15">
        <v>99</v>
      </c>
      <c r="K64" s="15">
        <v>100</v>
      </c>
    </row>
    <row r="68" spans="2:10" x14ac:dyDescent="0.3">
      <c r="C68" t="s">
        <v>46</v>
      </c>
      <c r="I68" t="s">
        <v>46</v>
      </c>
    </row>
    <row r="69" spans="2:10" x14ac:dyDescent="0.3">
      <c r="B69" s="2" t="s">
        <v>2</v>
      </c>
      <c r="C69" s="2" t="s">
        <v>47</v>
      </c>
      <c r="D69" s="2" t="s">
        <v>6</v>
      </c>
      <c r="H69" s="2" t="s">
        <v>2</v>
      </c>
      <c r="I69" s="2" t="s">
        <v>47</v>
      </c>
      <c r="J69" s="2" t="s">
        <v>6</v>
      </c>
    </row>
    <row r="70" spans="2:10" x14ac:dyDescent="0.3">
      <c r="B70">
        <v>6236</v>
      </c>
      <c r="C70" t="s">
        <v>48</v>
      </c>
      <c r="D70">
        <v>6336</v>
      </c>
      <c r="H70">
        <v>6236</v>
      </c>
      <c r="I70" t="s">
        <v>48</v>
      </c>
      <c r="J70">
        <v>6336</v>
      </c>
    </row>
    <row r="71" spans="2:10" x14ac:dyDescent="0.3">
      <c r="B71">
        <v>5068</v>
      </c>
      <c r="C71" t="s">
        <v>49</v>
      </c>
      <c r="D71">
        <v>7274</v>
      </c>
      <c r="H71">
        <v>5068</v>
      </c>
      <c r="I71" t="s">
        <v>49</v>
      </c>
      <c r="J71">
        <v>7274</v>
      </c>
    </row>
    <row r="72" spans="2:10" x14ac:dyDescent="0.3">
      <c r="B72">
        <v>5535</v>
      </c>
      <c r="C72" t="s">
        <v>50</v>
      </c>
      <c r="D72">
        <v>5220</v>
      </c>
      <c r="H72">
        <v>5535</v>
      </c>
      <c r="I72" t="s">
        <v>50</v>
      </c>
      <c r="J72">
        <v>5220</v>
      </c>
    </row>
    <row r="73" spans="2:10" x14ac:dyDescent="0.3">
      <c r="B73">
        <v>7612</v>
      </c>
      <c r="C73" t="s">
        <v>23</v>
      </c>
      <c r="D73">
        <v>8524</v>
      </c>
      <c r="H73">
        <v>7612</v>
      </c>
      <c r="I73" t="s">
        <v>23</v>
      </c>
      <c r="J73">
        <v>8524</v>
      </c>
    </row>
    <row r="74" spans="2:10" x14ac:dyDescent="0.3">
      <c r="B74">
        <v>6835</v>
      </c>
      <c r="C74" t="s">
        <v>51</v>
      </c>
      <c r="D74">
        <v>9117</v>
      </c>
      <c r="H74">
        <v>6835</v>
      </c>
      <c r="I74" t="s">
        <v>51</v>
      </c>
      <c r="J74">
        <v>9117</v>
      </c>
    </row>
    <row r="75" spans="2:10" x14ac:dyDescent="0.3">
      <c r="B75">
        <v>8045</v>
      </c>
      <c r="C75" t="s">
        <v>52</v>
      </c>
      <c r="D75">
        <v>8118</v>
      </c>
      <c r="H75">
        <v>8045</v>
      </c>
      <c r="I75" t="s">
        <v>52</v>
      </c>
      <c r="J75">
        <v>8118</v>
      </c>
    </row>
    <row r="76" spans="2:10" x14ac:dyDescent="0.3">
      <c r="B76">
        <v>7856</v>
      </c>
      <c r="C76" t="s">
        <v>53</v>
      </c>
      <c r="D76">
        <v>9151</v>
      </c>
      <c r="H76">
        <v>7856</v>
      </c>
      <c r="I76" t="s">
        <v>53</v>
      </c>
      <c r="J76">
        <v>9151</v>
      </c>
    </row>
    <row r="77" spans="2:10" x14ac:dyDescent="0.3">
      <c r="B77">
        <v>6705</v>
      </c>
      <c r="C77" t="s">
        <v>54</v>
      </c>
      <c r="D77">
        <v>6317</v>
      </c>
      <c r="H77">
        <v>6705</v>
      </c>
      <c r="I77" t="s">
        <v>54</v>
      </c>
      <c r="J77">
        <v>6317</v>
      </c>
    </row>
    <row r="78" spans="2:10" x14ac:dyDescent="0.3">
      <c r="B78">
        <v>5311</v>
      </c>
      <c r="C78" t="s">
        <v>55</v>
      </c>
      <c r="D78">
        <v>9434</v>
      </c>
      <c r="H78">
        <v>5311</v>
      </c>
      <c r="I78" t="s">
        <v>55</v>
      </c>
      <c r="J78">
        <v>9434</v>
      </c>
    </row>
    <row r="82" spans="3:4" x14ac:dyDescent="0.3">
      <c r="C82" s="2" t="s">
        <v>2</v>
      </c>
      <c r="D82" t="s">
        <v>146</v>
      </c>
    </row>
    <row r="83" spans="3:4" x14ac:dyDescent="0.3">
      <c r="C83">
        <v>6736</v>
      </c>
    </row>
    <row r="84" spans="3:4" x14ac:dyDescent="0.3">
      <c r="C84">
        <v>5068</v>
      </c>
    </row>
    <row r="85" spans="3:4" x14ac:dyDescent="0.3">
      <c r="C85">
        <v>5535</v>
      </c>
    </row>
    <row r="86" spans="3:4" x14ac:dyDescent="0.3">
      <c r="C86">
        <v>7612</v>
      </c>
    </row>
    <row r="87" spans="3:4" x14ac:dyDescent="0.3">
      <c r="C87">
        <v>6835</v>
      </c>
    </row>
    <row r="88" spans="3:4" x14ac:dyDescent="0.3">
      <c r="C88">
        <v>8045</v>
      </c>
    </row>
    <row r="89" spans="3:4" x14ac:dyDescent="0.3">
      <c r="C89">
        <v>7856</v>
      </c>
    </row>
    <row r="90" spans="3:4" x14ac:dyDescent="0.3">
      <c r="C90">
        <v>6705</v>
      </c>
    </row>
    <row r="91" spans="3:4" x14ac:dyDescent="0.3">
      <c r="C91">
        <v>5311</v>
      </c>
    </row>
    <row r="93" spans="3:4" x14ac:dyDescent="0.3">
      <c r="C93" s="2" t="s">
        <v>2</v>
      </c>
      <c r="D93" t="s">
        <v>147</v>
      </c>
    </row>
    <row r="94" spans="3:4" x14ac:dyDescent="0.3">
      <c r="C94">
        <v>6736</v>
      </c>
    </row>
    <row r="95" spans="3:4" x14ac:dyDescent="0.3">
      <c r="C95">
        <v>5068</v>
      </c>
    </row>
    <row r="96" spans="3:4" x14ac:dyDescent="0.3">
      <c r="C96">
        <v>5535</v>
      </c>
    </row>
    <row r="97" spans="3:3" x14ac:dyDescent="0.3">
      <c r="C97">
        <v>7612</v>
      </c>
    </row>
    <row r="98" spans="3:3" x14ac:dyDescent="0.3">
      <c r="C98">
        <v>6835</v>
      </c>
    </row>
    <row r="99" spans="3:3" x14ac:dyDescent="0.3">
      <c r="C99">
        <v>8045</v>
      </c>
    </row>
    <row r="100" spans="3:3" x14ac:dyDescent="0.3">
      <c r="C100">
        <v>7856</v>
      </c>
    </row>
    <row r="101" spans="3:3" x14ac:dyDescent="0.3">
      <c r="C101">
        <v>6705</v>
      </c>
    </row>
    <row r="102" spans="3:3" x14ac:dyDescent="0.3">
      <c r="C102">
        <v>5311</v>
      </c>
    </row>
  </sheetData>
  <conditionalFormatting sqref="A3:I12">
    <cfRule type="expression" dxfId="7" priority="25">
      <formula>$B$2=$I3</formula>
    </cfRule>
    <cfRule type="expression" dxfId="6" priority="26">
      <formula>$A$2=$A3</formula>
    </cfRule>
  </conditionalFormatting>
  <conditionalFormatting sqref="A15:I24">
    <cfRule type="expression" dxfId="5" priority="17">
      <formula>$B$2=$I15</formula>
    </cfRule>
    <cfRule type="expression" dxfId="4" priority="18">
      <formula>$A$2=$A15</formula>
    </cfRule>
  </conditionalFormatting>
  <conditionalFormatting sqref="B70:B78">
    <cfRule type="dataBar" priority="12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{5B14518F-5684-4795-B57D-B8EBB2C77BA4}</x14:id>
        </ext>
      </extLst>
    </cfRule>
    <cfRule type="dataBar" priority="14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{5CA1919D-512B-4ADE-A772-702AE152BDBC}</x14:id>
        </ext>
      </extLst>
    </cfRule>
  </conditionalFormatting>
  <conditionalFormatting sqref="C82">
    <cfRule type="colorScale" priority="4">
      <colorScale>
        <cfvo type="min"/>
        <cfvo type="percentile" val="50"/>
        <cfvo type="max"/>
        <color rgb="FFFF0000"/>
        <color rgb="FFFCFCFF"/>
        <color rgb="FF00B050"/>
      </colorScale>
    </cfRule>
  </conditionalFormatting>
  <conditionalFormatting sqref="C83:C9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3">
    <cfRule type="colorScale" priority="3">
      <colorScale>
        <cfvo type="min"/>
        <cfvo type="percentile" val="50"/>
        <cfvo type="max"/>
        <color rgb="FFFF0000"/>
        <color rgb="FFFCFCFF"/>
        <color rgb="FF00B050"/>
      </colorScale>
    </cfRule>
  </conditionalFormatting>
  <conditionalFormatting sqref="C94:C10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70:D7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{F4850334-CD24-48F2-8C92-684BCBD5F7C8}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14518F-5684-4795-B57D-B8EBB2C77BA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A1919D-512B-4ADE-A772-702AE152BDBC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B70:B78</xm:sqref>
        </x14:conditionalFormatting>
        <x14:conditionalFormatting xmlns:xm="http://schemas.microsoft.com/office/excel/2006/main">
          <x14:cfRule type="dataBar" id="{F4850334-CD24-48F2-8C92-684BCBD5F7C8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D70:D78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B886-45B3-4A3E-B8D3-1AC4DFB51E4C}">
  <dimension ref="A1:G68"/>
  <sheetViews>
    <sheetView topLeftCell="A16" zoomScale="130" zoomScaleNormal="130" workbookViewId="0">
      <selection activeCell="G12" sqref="G12"/>
    </sheetView>
  </sheetViews>
  <sheetFormatPr defaultRowHeight="14.4" x14ac:dyDescent="0.3"/>
  <cols>
    <col min="2" max="2" width="10.44140625" customWidth="1"/>
    <col min="3" max="3" width="12.5546875" customWidth="1"/>
    <col min="4" max="4" width="10.33203125" bestFit="1" customWidth="1"/>
    <col min="5" max="5" width="10.5546875" bestFit="1" customWidth="1"/>
    <col min="6" max="6" width="13.77734375" customWidth="1"/>
    <col min="7" max="7" width="10.33203125" bestFit="1" customWidth="1"/>
    <col min="8" max="8" width="10.5546875" bestFit="1" customWidth="1"/>
    <col min="9" max="9" width="11.33203125" bestFit="1" customWidth="1"/>
  </cols>
  <sheetData>
    <row r="1" spans="1:5" x14ac:dyDescent="0.3">
      <c r="A1" t="s">
        <v>103</v>
      </c>
    </row>
    <row r="2" spans="1:5" x14ac:dyDescent="0.3">
      <c r="C2" t="s">
        <v>101</v>
      </c>
      <c r="E2" t="s">
        <v>148</v>
      </c>
    </row>
    <row r="4" spans="1:5" x14ac:dyDescent="0.3">
      <c r="A4" t="s">
        <v>93</v>
      </c>
      <c r="B4" t="s">
        <v>92</v>
      </c>
      <c r="C4" t="s">
        <v>91</v>
      </c>
      <c r="E4" t="s">
        <v>85</v>
      </c>
    </row>
    <row r="5" spans="1:5" x14ac:dyDescent="0.3">
      <c r="A5" t="s">
        <v>85</v>
      </c>
      <c r="B5">
        <v>2</v>
      </c>
      <c r="C5">
        <v>33</v>
      </c>
    </row>
    <row r="6" spans="1:5" x14ac:dyDescent="0.3">
      <c r="A6" t="s">
        <v>80</v>
      </c>
      <c r="B6">
        <v>3</v>
      </c>
      <c r="C6">
        <v>85</v>
      </c>
    </row>
    <row r="7" spans="1:5" x14ac:dyDescent="0.3">
      <c r="A7" t="s">
        <v>84</v>
      </c>
      <c r="B7">
        <v>5</v>
      </c>
      <c r="C7">
        <v>65</v>
      </c>
    </row>
    <row r="8" spans="1:5" x14ac:dyDescent="0.3">
      <c r="A8" t="s">
        <v>85</v>
      </c>
      <c r="B8">
        <v>2</v>
      </c>
      <c r="C8">
        <v>85</v>
      </c>
    </row>
    <row r="9" spans="1:5" x14ac:dyDescent="0.3">
      <c r="A9" t="s">
        <v>84</v>
      </c>
      <c r="B9">
        <v>3</v>
      </c>
      <c r="C9">
        <v>75</v>
      </c>
    </row>
    <row r="10" spans="1:5" x14ac:dyDescent="0.3">
      <c r="A10" t="s">
        <v>80</v>
      </c>
      <c r="B10">
        <v>4</v>
      </c>
      <c r="C10">
        <v>95</v>
      </c>
    </row>
    <row r="13" spans="1:5" x14ac:dyDescent="0.3">
      <c r="A13" t="s">
        <v>97</v>
      </c>
      <c r="C13" t="s">
        <v>96</v>
      </c>
    </row>
    <row r="16" spans="1:5" x14ac:dyDescent="0.3">
      <c r="A16" t="s">
        <v>93</v>
      </c>
      <c r="B16" t="s">
        <v>92</v>
      </c>
      <c r="C16" t="s">
        <v>91</v>
      </c>
      <c r="D16" t="s">
        <v>90</v>
      </c>
    </row>
    <row r="17" spans="1:5" x14ac:dyDescent="0.3">
      <c r="A17" t="s">
        <v>85</v>
      </c>
      <c r="B17">
        <v>2</v>
      </c>
      <c r="C17">
        <v>33</v>
      </c>
      <c r="E17" t="s">
        <v>149</v>
      </c>
    </row>
    <row r="18" spans="1:5" x14ac:dyDescent="0.3">
      <c r="A18" t="s">
        <v>80</v>
      </c>
      <c r="B18">
        <v>3</v>
      </c>
      <c r="C18">
        <v>85</v>
      </c>
    </row>
    <row r="19" spans="1:5" x14ac:dyDescent="0.3">
      <c r="A19" t="s">
        <v>84</v>
      </c>
      <c r="B19">
        <v>5</v>
      </c>
      <c r="C19">
        <v>65</v>
      </c>
    </row>
    <row r="20" spans="1:5" x14ac:dyDescent="0.3">
      <c r="A20" t="s">
        <v>85</v>
      </c>
      <c r="B20">
        <v>2</v>
      </c>
      <c r="C20">
        <v>85</v>
      </c>
    </row>
    <row r="21" spans="1:5" x14ac:dyDescent="0.3">
      <c r="A21" t="s">
        <v>84</v>
      </c>
      <c r="B21">
        <v>3</v>
      </c>
      <c r="C21">
        <v>75</v>
      </c>
    </row>
    <row r="22" spans="1:5" x14ac:dyDescent="0.3">
      <c r="A22" t="s">
        <v>80</v>
      </c>
      <c r="B22">
        <v>4</v>
      </c>
      <c r="C22">
        <v>95</v>
      </c>
    </row>
    <row r="24" spans="1:5" x14ac:dyDescent="0.3">
      <c r="B24" t="s">
        <v>102</v>
      </c>
    </row>
    <row r="26" spans="1:5" x14ac:dyDescent="0.3">
      <c r="C26" t="s">
        <v>150</v>
      </c>
    </row>
    <row r="29" spans="1:5" x14ac:dyDescent="0.3">
      <c r="B29" s="2" t="s">
        <v>43</v>
      </c>
      <c r="C29" s="2" t="s">
        <v>89</v>
      </c>
      <c r="D29" s="2" t="s">
        <v>99</v>
      </c>
      <c r="E29" s="2" t="s">
        <v>100</v>
      </c>
    </row>
    <row r="30" spans="1:5" x14ac:dyDescent="0.3">
      <c r="B30" s="10">
        <v>45292</v>
      </c>
      <c r="C30" t="s">
        <v>94</v>
      </c>
      <c r="D30">
        <v>20000</v>
      </c>
      <c r="E30">
        <v>15000</v>
      </c>
    </row>
    <row r="31" spans="1:5" x14ac:dyDescent="0.3">
      <c r="B31" s="10">
        <v>45293</v>
      </c>
      <c r="C31" t="s">
        <v>87</v>
      </c>
      <c r="D31">
        <v>20000</v>
      </c>
      <c r="E31">
        <v>17000</v>
      </c>
    </row>
    <row r="32" spans="1:5" x14ac:dyDescent="0.3">
      <c r="B32" s="10">
        <v>45294</v>
      </c>
      <c r="C32" t="s">
        <v>95</v>
      </c>
      <c r="D32">
        <v>20000</v>
      </c>
      <c r="E32">
        <v>15000</v>
      </c>
    </row>
    <row r="33" spans="1:7" x14ac:dyDescent="0.3">
      <c r="B33" s="10">
        <v>45295</v>
      </c>
      <c r="C33" t="s">
        <v>88</v>
      </c>
      <c r="D33">
        <v>20000</v>
      </c>
      <c r="E33">
        <v>21000</v>
      </c>
    </row>
    <row r="34" spans="1:7" x14ac:dyDescent="0.3">
      <c r="B34" s="10">
        <v>45296</v>
      </c>
      <c r="C34" t="s">
        <v>98</v>
      </c>
      <c r="D34">
        <v>20000</v>
      </c>
      <c r="E34">
        <v>17500</v>
      </c>
    </row>
    <row r="35" spans="1:7" x14ac:dyDescent="0.3">
      <c r="B35" s="10">
        <v>45297</v>
      </c>
      <c r="C35" t="s">
        <v>98</v>
      </c>
      <c r="D35">
        <v>20000</v>
      </c>
      <c r="E35">
        <v>25000</v>
      </c>
    </row>
    <row r="36" spans="1:7" x14ac:dyDescent="0.3">
      <c r="B36" s="10">
        <v>45298</v>
      </c>
      <c r="C36" t="s">
        <v>95</v>
      </c>
      <c r="D36">
        <v>20000</v>
      </c>
      <c r="E36">
        <v>16000</v>
      </c>
    </row>
    <row r="37" spans="1:7" x14ac:dyDescent="0.3">
      <c r="B37" s="10">
        <v>45299</v>
      </c>
      <c r="C37" t="s">
        <v>94</v>
      </c>
      <c r="D37">
        <v>20000</v>
      </c>
      <c r="E37">
        <v>12500</v>
      </c>
    </row>
    <row r="38" spans="1:7" x14ac:dyDescent="0.3">
      <c r="B38" s="10">
        <v>45300</v>
      </c>
      <c r="C38" t="s">
        <v>94</v>
      </c>
      <c r="D38">
        <v>20000</v>
      </c>
      <c r="E38">
        <v>23500</v>
      </c>
    </row>
    <row r="39" spans="1:7" x14ac:dyDescent="0.3">
      <c r="B39" s="10">
        <v>45301</v>
      </c>
      <c r="C39" t="s">
        <v>88</v>
      </c>
      <c r="D39">
        <v>20000</v>
      </c>
      <c r="E39">
        <v>16000</v>
      </c>
    </row>
    <row r="40" spans="1:7" x14ac:dyDescent="0.3">
      <c r="B40" s="10">
        <v>45302</v>
      </c>
      <c r="C40" t="s">
        <v>87</v>
      </c>
      <c r="D40">
        <v>20000</v>
      </c>
      <c r="E40">
        <v>15000</v>
      </c>
    </row>
    <row r="42" spans="1:7" x14ac:dyDescent="0.3">
      <c r="A42" t="s">
        <v>86</v>
      </c>
      <c r="B42" t="s">
        <v>151</v>
      </c>
      <c r="C42" s="10">
        <f ca="1">TODAY()</f>
        <v>45930</v>
      </c>
    </row>
    <row r="44" spans="1:7" x14ac:dyDescent="0.3">
      <c r="A44" t="s">
        <v>83</v>
      </c>
      <c r="B44" t="s">
        <v>82</v>
      </c>
      <c r="C44" t="s">
        <v>81</v>
      </c>
      <c r="D44" t="s">
        <v>153</v>
      </c>
      <c r="E44" t="s">
        <v>154</v>
      </c>
      <c r="F44" t="s">
        <v>152</v>
      </c>
    </row>
    <row r="45" spans="1:7" x14ac:dyDescent="0.3">
      <c r="A45">
        <v>15127</v>
      </c>
      <c r="B45" s="11" t="s">
        <v>79</v>
      </c>
      <c r="C45" s="10">
        <v>31095</v>
      </c>
      <c r="D45" s="14">
        <f>MONTH(C45)</f>
        <v>2</v>
      </c>
      <c r="E45" s="14">
        <f>DAY(C45)</f>
        <v>17</v>
      </c>
      <c r="F45" s="10">
        <f ca="1">DATE(YEAR($C$42),D45,E45)</f>
        <v>45705</v>
      </c>
      <c r="G45" s="10">
        <f ca="1">DATE(YEAR(C42),MONTH(C45),DAY(C45))</f>
        <v>45705</v>
      </c>
    </row>
    <row r="46" spans="1:7" x14ac:dyDescent="0.3">
      <c r="A46">
        <v>18995</v>
      </c>
      <c r="B46" s="11" t="s">
        <v>78</v>
      </c>
      <c r="C46" s="10">
        <v>29962</v>
      </c>
      <c r="D46" s="14">
        <f t="shared" ref="D46:D68" si="0">MONTH(C46)</f>
        <v>1</v>
      </c>
      <c r="E46" s="14">
        <f t="shared" ref="E46:E68" si="1">DAY(C46)</f>
        <v>11</v>
      </c>
      <c r="F46" s="10">
        <f t="shared" ref="F46:F68" ca="1" si="2">DATE(YEAR($C$42),D46,E46)</f>
        <v>45668</v>
      </c>
    </row>
    <row r="47" spans="1:7" x14ac:dyDescent="0.3">
      <c r="A47">
        <v>17153</v>
      </c>
      <c r="B47" s="11" t="s">
        <v>77</v>
      </c>
      <c r="C47" s="10">
        <v>32885</v>
      </c>
      <c r="D47" s="14">
        <f t="shared" si="0"/>
        <v>1</v>
      </c>
      <c r="E47" s="14">
        <f t="shared" si="1"/>
        <v>12</v>
      </c>
      <c r="F47" s="10">
        <f t="shared" ca="1" si="2"/>
        <v>45669</v>
      </c>
    </row>
    <row r="48" spans="1:7" x14ac:dyDescent="0.3">
      <c r="A48">
        <v>14916</v>
      </c>
      <c r="B48" s="11" t="s">
        <v>76</v>
      </c>
      <c r="C48" s="10">
        <v>35811</v>
      </c>
      <c r="D48" s="14">
        <f t="shared" si="0"/>
        <v>1</v>
      </c>
      <c r="E48" s="14">
        <f t="shared" si="1"/>
        <v>16</v>
      </c>
      <c r="F48" s="10">
        <f t="shared" ca="1" si="2"/>
        <v>45673</v>
      </c>
    </row>
    <row r="49" spans="1:6" x14ac:dyDescent="0.3">
      <c r="A49">
        <v>18029</v>
      </c>
      <c r="B49" s="11" t="s">
        <v>75</v>
      </c>
      <c r="C49" s="10">
        <v>34719</v>
      </c>
      <c r="D49" s="14">
        <f t="shared" si="0"/>
        <v>1</v>
      </c>
      <c r="E49" s="14">
        <f t="shared" si="1"/>
        <v>20</v>
      </c>
      <c r="F49" s="10">
        <f t="shared" ca="1" si="2"/>
        <v>45677</v>
      </c>
    </row>
    <row r="50" spans="1:6" x14ac:dyDescent="0.3">
      <c r="A50">
        <v>12648</v>
      </c>
      <c r="B50" s="11" t="s">
        <v>74</v>
      </c>
      <c r="C50" s="10">
        <v>43850</v>
      </c>
      <c r="D50" s="14">
        <f t="shared" si="0"/>
        <v>1</v>
      </c>
      <c r="E50" s="14">
        <f t="shared" si="1"/>
        <v>20</v>
      </c>
      <c r="F50" s="10">
        <f t="shared" ca="1" si="2"/>
        <v>45677</v>
      </c>
    </row>
    <row r="51" spans="1:6" x14ac:dyDescent="0.3">
      <c r="A51">
        <v>11313</v>
      </c>
      <c r="B51" s="11" t="s">
        <v>73</v>
      </c>
      <c r="C51" s="10">
        <v>31067</v>
      </c>
      <c r="D51" s="14">
        <f t="shared" si="0"/>
        <v>1</v>
      </c>
      <c r="E51" s="14">
        <f t="shared" si="1"/>
        <v>20</v>
      </c>
      <c r="F51" s="10">
        <f t="shared" ca="1" si="2"/>
        <v>45677</v>
      </c>
    </row>
    <row r="52" spans="1:6" x14ac:dyDescent="0.3">
      <c r="A52">
        <v>13330</v>
      </c>
      <c r="B52" s="11" t="s">
        <v>72</v>
      </c>
      <c r="C52" s="10">
        <v>36208</v>
      </c>
      <c r="D52" s="14">
        <f t="shared" si="0"/>
        <v>2</v>
      </c>
      <c r="E52" s="14">
        <f t="shared" si="1"/>
        <v>17</v>
      </c>
      <c r="F52" s="10">
        <f t="shared" ca="1" si="2"/>
        <v>45705</v>
      </c>
    </row>
    <row r="53" spans="1:6" x14ac:dyDescent="0.3">
      <c r="A53">
        <v>13956</v>
      </c>
      <c r="B53" s="11" t="s">
        <v>71</v>
      </c>
      <c r="C53" s="10">
        <v>38364</v>
      </c>
      <c r="D53" s="14">
        <f t="shared" si="0"/>
        <v>1</v>
      </c>
      <c r="E53" s="14">
        <f t="shared" si="1"/>
        <v>12</v>
      </c>
      <c r="F53" s="10">
        <f t="shared" ca="1" si="2"/>
        <v>45669</v>
      </c>
    </row>
    <row r="54" spans="1:6" x14ac:dyDescent="0.3">
      <c r="A54">
        <v>13618</v>
      </c>
      <c r="B54" s="11" t="s">
        <v>70</v>
      </c>
      <c r="C54" s="10">
        <v>36541</v>
      </c>
      <c r="D54" s="14">
        <f t="shared" si="0"/>
        <v>1</v>
      </c>
      <c r="E54" s="14">
        <f t="shared" si="1"/>
        <v>16</v>
      </c>
      <c r="F54" s="10">
        <f t="shared" ca="1" si="2"/>
        <v>45673</v>
      </c>
    </row>
    <row r="55" spans="1:6" x14ac:dyDescent="0.3">
      <c r="A55">
        <v>15207</v>
      </c>
      <c r="B55" s="11" t="s">
        <v>69</v>
      </c>
      <c r="C55" s="10">
        <v>38011</v>
      </c>
      <c r="D55" s="14">
        <f t="shared" si="0"/>
        <v>1</v>
      </c>
      <c r="E55" s="14">
        <f t="shared" si="1"/>
        <v>25</v>
      </c>
      <c r="F55" s="10">
        <f t="shared" ca="1" si="2"/>
        <v>45682</v>
      </c>
    </row>
    <row r="56" spans="1:6" x14ac:dyDescent="0.3">
      <c r="A56">
        <v>13398</v>
      </c>
      <c r="B56" s="11" t="s">
        <v>68</v>
      </c>
      <c r="C56" s="10">
        <v>31804</v>
      </c>
      <c r="D56" s="14">
        <f t="shared" si="0"/>
        <v>1</v>
      </c>
      <c r="E56" s="14">
        <f t="shared" si="1"/>
        <v>27</v>
      </c>
      <c r="F56" s="10">
        <f t="shared" ca="1" si="2"/>
        <v>45684</v>
      </c>
    </row>
    <row r="57" spans="1:6" x14ac:dyDescent="0.3">
      <c r="A57">
        <v>18935</v>
      </c>
      <c r="B57" s="11" t="s">
        <v>67</v>
      </c>
      <c r="C57" s="10">
        <v>31074</v>
      </c>
      <c r="D57" s="14">
        <f t="shared" si="0"/>
        <v>1</v>
      </c>
      <c r="E57" s="14">
        <f t="shared" si="1"/>
        <v>27</v>
      </c>
      <c r="F57" s="10">
        <f t="shared" ca="1" si="2"/>
        <v>45684</v>
      </c>
    </row>
    <row r="58" spans="1:6" x14ac:dyDescent="0.3">
      <c r="A58">
        <v>15845</v>
      </c>
      <c r="B58" s="11" t="s">
        <v>66</v>
      </c>
      <c r="C58" s="10">
        <v>31785</v>
      </c>
      <c r="D58" s="14">
        <f t="shared" si="0"/>
        <v>1</v>
      </c>
      <c r="E58" s="14">
        <f t="shared" si="1"/>
        <v>8</v>
      </c>
      <c r="F58" s="10">
        <f t="shared" ca="1" si="2"/>
        <v>45665</v>
      </c>
    </row>
    <row r="59" spans="1:6" x14ac:dyDescent="0.3">
      <c r="A59">
        <v>13971</v>
      </c>
      <c r="B59" s="11" t="s">
        <v>65</v>
      </c>
      <c r="C59" s="10">
        <v>31418</v>
      </c>
      <c r="D59" s="14">
        <f t="shared" si="0"/>
        <v>1</v>
      </c>
      <c r="E59" s="14">
        <f t="shared" si="1"/>
        <v>6</v>
      </c>
      <c r="F59" s="10">
        <f t="shared" ca="1" si="2"/>
        <v>45663</v>
      </c>
    </row>
    <row r="60" spans="1:6" x14ac:dyDescent="0.3">
      <c r="A60">
        <v>14723</v>
      </c>
      <c r="B60" s="11" t="s">
        <v>64</v>
      </c>
      <c r="C60" s="10">
        <v>31067</v>
      </c>
      <c r="D60" s="14">
        <f t="shared" si="0"/>
        <v>1</v>
      </c>
      <c r="E60" s="14">
        <f t="shared" si="1"/>
        <v>20</v>
      </c>
      <c r="F60" s="10">
        <f t="shared" ca="1" si="2"/>
        <v>45677</v>
      </c>
    </row>
    <row r="61" spans="1:6" x14ac:dyDescent="0.3">
      <c r="A61">
        <v>20070</v>
      </c>
      <c r="B61" s="11" t="s">
        <v>63</v>
      </c>
      <c r="C61" s="10">
        <v>29967</v>
      </c>
      <c r="D61" s="14">
        <f t="shared" si="0"/>
        <v>1</v>
      </c>
      <c r="E61" s="14">
        <f t="shared" si="1"/>
        <v>16</v>
      </c>
      <c r="F61" s="10">
        <f t="shared" ca="1" si="2"/>
        <v>45673</v>
      </c>
    </row>
    <row r="62" spans="1:6" x14ac:dyDescent="0.3">
      <c r="A62">
        <v>14666</v>
      </c>
      <c r="B62" s="11" t="s">
        <v>62</v>
      </c>
      <c r="C62" s="10">
        <v>31437</v>
      </c>
      <c r="D62" s="14">
        <f t="shared" si="0"/>
        <v>1</v>
      </c>
      <c r="E62" s="14">
        <f t="shared" si="1"/>
        <v>25</v>
      </c>
      <c r="F62" s="10">
        <f t="shared" ca="1" si="2"/>
        <v>45682</v>
      </c>
    </row>
    <row r="63" spans="1:6" x14ac:dyDescent="0.3">
      <c r="A63">
        <v>18633</v>
      </c>
      <c r="B63" s="11" t="s">
        <v>61</v>
      </c>
      <c r="C63" s="10">
        <v>32168</v>
      </c>
      <c r="D63" s="14">
        <f t="shared" si="0"/>
        <v>1</v>
      </c>
      <c r="E63" s="14">
        <f t="shared" si="1"/>
        <v>26</v>
      </c>
      <c r="F63" s="10">
        <f t="shared" ca="1" si="2"/>
        <v>45683</v>
      </c>
    </row>
    <row r="64" spans="1:6" x14ac:dyDescent="0.3">
      <c r="A64">
        <v>18918</v>
      </c>
      <c r="B64" s="11" t="s">
        <v>60</v>
      </c>
      <c r="C64" s="10">
        <v>36549</v>
      </c>
      <c r="D64" s="14">
        <f t="shared" si="0"/>
        <v>1</v>
      </c>
      <c r="E64" s="14">
        <f t="shared" si="1"/>
        <v>24</v>
      </c>
      <c r="F64" s="10">
        <f t="shared" ca="1" si="2"/>
        <v>45681</v>
      </c>
    </row>
    <row r="65" spans="1:6" x14ac:dyDescent="0.3">
      <c r="A65">
        <v>20038</v>
      </c>
      <c r="B65" s="11" t="s">
        <v>59</v>
      </c>
      <c r="C65" s="10">
        <v>37284</v>
      </c>
      <c r="D65" s="14">
        <f t="shared" si="0"/>
        <v>1</v>
      </c>
      <c r="E65" s="14">
        <f t="shared" si="1"/>
        <v>28</v>
      </c>
      <c r="F65" s="10">
        <f t="shared" ca="1" si="2"/>
        <v>45685</v>
      </c>
    </row>
    <row r="66" spans="1:6" x14ac:dyDescent="0.3">
      <c r="A66">
        <v>19066</v>
      </c>
      <c r="B66" s="11" t="s">
        <v>58</v>
      </c>
      <c r="C66" s="10">
        <v>34714</v>
      </c>
      <c r="D66" s="14">
        <f t="shared" si="0"/>
        <v>1</v>
      </c>
      <c r="E66" s="14">
        <f t="shared" si="1"/>
        <v>15</v>
      </c>
      <c r="F66" s="10">
        <f t="shared" ca="1" si="2"/>
        <v>45672</v>
      </c>
    </row>
    <row r="67" spans="1:6" x14ac:dyDescent="0.3">
      <c r="A67">
        <v>11059</v>
      </c>
      <c r="B67" s="11" t="s">
        <v>57</v>
      </c>
      <c r="C67" s="10">
        <v>34350</v>
      </c>
      <c r="D67" s="14">
        <f t="shared" si="0"/>
        <v>1</v>
      </c>
      <c r="E67" s="14">
        <f t="shared" si="1"/>
        <v>16</v>
      </c>
      <c r="F67" s="10">
        <f t="shared" ca="1" si="2"/>
        <v>45673</v>
      </c>
    </row>
    <row r="68" spans="1:6" x14ac:dyDescent="0.3">
      <c r="A68">
        <v>17465</v>
      </c>
      <c r="B68" s="11" t="s">
        <v>56</v>
      </c>
      <c r="C68" s="10">
        <v>32893</v>
      </c>
      <c r="D68" s="14">
        <f t="shared" si="0"/>
        <v>1</v>
      </c>
      <c r="E68" s="14">
        <f t="shared" si="1"/>
        <v>20</v>
      </c>
      <c r="F68" s="10">
        <f t="shared" ca="1" si="2"/>
        <v>45677</v>
      </c>
    </row>
  </sheetData>
  <conditionalFormatting sqref="A5:A10">
    <cfRule type="expression" dxfId="3" priority="33">
      <formula>$A5=$E$4</formula>
    </cfRule>
  </conditionalFormatting>
  <conditionalFormatting sqref="A17:C22">
    <cfRule type="expression" dxfId="2" priority="7">
      <formula>$A17="laptop"</formula>
    </cfRule>
  </conditionalFormatting>
  <conditionalFormatting sqref="A45:F68">
    <cfRule type="expression" dxfId="1" priority="1">
      <formula>$C$42=$F45</formula>
    </cfRule>
  </conditionalFormatting>
  <conditionalFormatting sqref="E4">
    <cfRule type="expression" dxfId="0" priority="6">
      <formula>$A4=$E$4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420D-98BF-4F5D-9FD8-805E9FB64A04}">
  <dimension ref="A2:N32"/>
  <sheetViews>
    <sheetView tabSelected="1" topLeftCell="A10" workbookViewId="0">
      <selection activeCell="A32" sqref="A32"/>
    </sheetView>
  </sheetViews>
  <sheetFormatPr defaultRowHeight="14.4" x14ac:dyDescent="0.3"/>
  <cols>
    <col min="2" max="2" width="33" bestFit="1" customWidth="1"/>
  </cols>
  <sheetData>
    <row r="2" spans="1:14" x14ac:dyDescent="0.3">
      <c r="A2" s="11" t="s">
        <v>104</v>
      </c>
      <c r="B2" s="11" t="s">
        <v>0</v>
      </c>
      <c r="C2" s="11" t="s">
        <v>105</v>
      </c>
      <c r="D2" s="11" t="s">
        <v>106</v>
      </c>
      <c r="E2" s="11" t="s">
        <v>107</v>
      </c>
      <c r="F2" s="11" t="s">
        <v>108</v>
      </c>
      <c r="G2" s="11" t="s">
        <v>109</v>
      </c>
      <c r="H2" s="11" t="s">
        <v>18</v>
      </c>
      <c r="I2" s="11" t="s">
        <v>110</v>
      </c>
      <c r="J2" s="11" t="s">
        <v>111</v>
      </c>
      <c r="K2" s="11" t="s">
        <v>112</v>
      </c>
      <c r="L2" s="11" t="s">
        <v>12</v>
      </c>
      <c r="M2" s="11" t="s">
        <v>45</v>
      </c>
      <c r="N2" s="11" t="s">
        <v>113</v>
      </c>
    </row>
    <row r="3" spans="1:14" x14ac:dyDescent="0.3">
      <c r="A3" s="11">
        <v>1</v>
      </c>
      <c r="B3" s="11" t="s">
        <v>79</v>
      </c>
      <c r="C3" s="11">
        <v>38</v>
      </c>
      <c r="D3" s="11">
        <v>68</v>
      </c>
      <c r="E3" s="11">
        <v>22</v>
      </c>
      <c r="F3" s="11">
        <v>84</v>
      </c>
      <c r="G3" s="11">
        <v>32</v>
      </c>
      <c r="H3" s="11">
        <f t="shared" ref="H3:H22" si="0">SUM(C3:G3)</f>
        <v>244</v>
      </c>
      <c r="I3" s="11">
        <f>MAX(C3:G3)</f>
        <v>84</v>
      </c>
      <c r="J3" s="11">
        <f>MIN(C3:G3)</f>
        <v>22</v>
      </c>
      <c r="K3" s="11">
        <f>AVERAGE(C3:G3)</f>
        <v>48.8</v>
      </c>
      <c r="L3" s="11">
        <f>SUM(C3:G3)/500%</f>
        <v>48.8</v>
      </c>
      <c r="M3" s="11" t="str">
        <f>IF(K3&gt;=35, "PASS", "FAIL")</f>
        <v>PASS</v>
      </c>
      <c r="N3" s="11" t="str" cm="1">
        <f t="array" ref="N3">_xlfn.IFS(L3&gt;91, "A", L3&gt;71, "B", L3&gt;51, "C", L3&gt;35, "D", L3&lt;35, "F")</f>
        <v>D</v>
      </c>
    </row>
    <row r="4" spans="1:14" x14ac:dyDescent="0.3">
      <c r="A4" s="11">
        <v>2</v>
      </c>
      <c r="B4" s="11" t="s">
        <v>78</v>
      </c>
      <c r="C4" s="11">
        <v>28</v>
      </c>
      <c r="D4" s="11">
        <v>23</v>
      </c>
      <c r="E4" s="11">
        <v>20</v>
      </c>
      <c r="F4" s="11">
        <v>37</v>
      </c>
      <c r="G4" s="11">
        <v>24</v>
      </c>
      <c r="H4" s="11">
        <f t="shared" si="0"/>
        <v>132</v>
      </c>
      <c r="I4" s="11">
        <f t="shared" ref="I4:I22" si="1">MAX(C4:G4)</f>
        <v>37</v>
      </c>
      <c r="J4" s="11">
        <f t="shared" ref="J4:J22" si="2">MIN(C4:G4)</f>
        <v>20</v>
      </c>
      <c r="K4" s="11">
        <f t="shared" ref="K4:K22" si="3">AVERAGE(C4:G4)</f>
        <v>26.4</v>
      </c>
      <c r="L4" s="11">
        <f t="shared" ref="L4:L22" si="4">SUM(C4:G4)/500%</f>
        <v>26.4</v>
      </c>
      <c r="M4" s="11" t="str">
        <f t="shared" ref="M4:M22" si="5">IF(K4&gt;=35, "PASS", "FAIL")</f>
        <v>FAIL</v>
      </c>
      <c r="N4" s="11" t="str" cm="1">
        <f t="array" ref="N4">_xlfn.IFS(L4&gt;91, "A", L4&gt;71, "B", L4&gt;51, "C", L4&gt;35, "D", L4&lt;35, "F")</f>
        <v>F</v>
      </c>
    </row>
    <row r="5" spans="1:14" x14ac:dyDescent="0.3">
      <c r="A5" s="11">
        <v>3</v>
      </c>
      <c r="B5" s="11" t="s">
        <v>77</v>
      </c>
      <c r="C5" s="11">
        <v>74</v>
      </c>
      <c r="D5" s="11">
        <v>81</v>
      </c>
      <c r="E5" s="11">
        <v>27</v>
      </c>
      <c r="F5" s="11">
        <v>34</v>
      </c>
      <c r="G5" s="11">
        <v>59</v>
      </c>
      <c r="H5" s="11">
        <f t="shared" si="0"/>
        <v>275</v>
      </c>
      <c r="I5" s="11">
        <f t="shared" si="1"/>
        <v>81</v>
      </c>
      <c r="J5" s="11">
        <f t="shared" si="2"/>
        <v>27</v>
      </c>
      <c r="K5" s="11">
        <f t="shared" si="3"/>
        <v>55</v>
      </c>
      <c r="L5" s="11">
        <f t="shared" si="4"/>
        <v>55</v>
      </c>
      <c r="M5" s="11" t="str">
        <f t="shared" si="5"/>
        <v>PASS</v>
      </c>
      <c r="N5" s="11" t="str" cm="1">
        <f t="array" ref="N5">_xlfn.IFS(L5&gt;91, "A", L5&gt;71, "B", L5&gt;51, "C", L5&gt;35, "D", L5&lt;35, "F")</f>
        <v>C</v>
      </c>
    </row>
    <row r="6" spans="1:14" x14ac:dyDescent="0.3">
      <c r="A6" s="11">
        <v>4</v>
      </c>
      <c r="B6" s="11" t="s">
        <v>76</v>
      </c>
      <c r="C6" s="11">
        <v>77</v>
      </c>
      <c r="D6" s="11">
        <v>58</v>
      </c>
      <c r="E6" s="11">
        <v>17</v>
      </c>
      <c r="F6" s="11">
        <v>83</v>
      </c>
      <c r="G6" s="11">
        <v>62</v>
      </c>
      <c r="H6" s="11">
        <f t="shared" si="0"/>
        <v>297</v>
      </c>
      <c r="I6" s="11">
        <f t="shared" si="1"/>
        <v>83</v>
      </c>
      <c r="J6" s="11">
        <f t="shared" si="2"/>
        <v>17</v>
      </c>
      <c r="K6" s="11">
        <f t="shared" si="3"/>
        <v>59.4</v>
      </c>
      <c r="L6" s="11">
        <f t="shared" si="4"/>
        <v>59.4</v>
      </c>
      <c r="M6" s="11" t="str">
        <f t="shared" si="5"/>
        <v>PASS</v>
      </c>
      <c r="N6" s="11" t="str" cm="1">
        <f t="array" ref="N6">_xlfn.IFS(L6&gt;91, "A", L6&gt;71, "B", L6&gt;51, "C", L6&gt;35, "D", L6&lt;35, "F")</f>
        <v>C</v>
      </c>
    </row>
    <row r="7" spans="1:14" x14ac:dyDescent="0.3">
      <c r="A7" s="11">
        <v>5</v>
      </c>
      <c r="B7" s="11" t="s">
        <v>75</v>
      </c>
      <c r="C7" s="11">
        <v>38</v>
      </c>
      <c r="D7" s="11">
        <v>72</v>
      </c>
      <c r="E7" s="11">
        <v>28</v>
      </c>
      <c r="F7" s="11">
        <v>31</v>
      </c>
      <c r="G7" s="11">
        <v>63</v>
      </c>
      <c r="H7" s="11">
        <f t="shared" si="0"/>
        <v>232</v>
      </c>
      <c r="I7" s="11">
        <f t="shared" si="1"/>
        <v>72</v>
      </c>
      <c r="J7" s="11">
        <f t="shared" si="2"/>
        <v>28</v>
      </c>
      <c r="K7" s="11">
        <f t="shared" si="3"/>
        <v>46.4</v>
      </c>
      <c r="L7" s="11">
        <f t="shared" si="4"/>
        <v>46.4</v>
      </c>
      <c r="M7" s="11" t="str">
        <f t="shared" si="5"/>
        <v>PASS</v>
      </c>
      <c r="N7" s="11" t="str" cm="1">
        <f t="array" ref="N7">_xlfn.IFS(L7&gt;91, "A", L7&gt;71, "B", L7&gt;51, "C", L7&gt;35, "D", L7&lt;35, "F")</f>
        <v>D</v>
      </c>
    </row>
    <row r="8" spans="1:14" x14ac:dyDescent="0.3">
      <c r="A8" s="11">
        <v>6</v>
      </c>
      <c r="B8" s="11" t="s">
        <v>74</v>
      </c>
      <c r="C8" s="11">
        <v>62</v>
      </c>
      <c r="D8" s="11">
        <v>38</v>
      </c>
      <c r="E8" s="11">
        <v>34</v>
      </c>
      <c r="F8" s="11">
        <v>88</v>
      </c>
      <c r="G8" s="11">
        <v>52</v>
      </c>
      <c r="H8" s="11">
        <f t="shared" si="0"/>
        <v>274</v>
      </c>
      <c r="I8" s="11">
        <f t="shared" si="1"/>
        <v>88</v>
      </c>
      <c r="J8" s="11">
        <f t="shared" si="2"/>
        <v>34</v>
      </c>
      <c r="K8" s="11">
        <f t="shared" si="3"/>
        <v>54.8</v>
      </c>
      <c r="L8" s="11">
        <f t="shared" si="4"/>
        <v>54.8</v>
      </c>
      <c r="M8" s="11" t="str">
        <f t="shared" si="5"/>
        <v>PASS</v>
      </c>
      <c r="N8" s="11" t="str" cm="1">
        <f t="array" ref="N8">_xlfn.IFS(L8&gt;91, "A", L8&gt;71, "B", L8&gt;51, "C", L8&gt;35, "D", L8&lt;35, "F")</f>
        <v>C</v>
      </c>
    </row>
    <row r="9" spans="1:14" x14ac:dyDescent="0.3">
      <c r="A9" s="11">
        <v>7</v>
      </c>
      <c r="B9" s="11" t="s">
        <v>73</v>
      </c>
      <c r="C9" s="11">
        <v>47</v>
      </c>
      <c r="D9" s="11">
        <v>17</v>
      </c>
      <c r="E9" s="11">
        <v>76</v>
      </c>
      <c r="F9" s="11">
        <v>61</v>
      </c>
      <c r="G9" s="11">
        <v>71</v>
      </c>
      <c r="H9" s="11">
        <f t="shared" si="0"/>
        <v>272</v>
      </c>
      <c r="I9" s="11">
        <f t="shared" si="1"/>
        <v>76</v>
      </c>
      <c r="J9" s="11">
        <f t="shared" si="2"/>
        <v>17</v>
      </c>
      <c r="K9" s="11">
        <f t="shared" si="3"/>
        <v>54.4</v>
      </c>
      <c r="L9" s="11">
        <f t="shared" si="4"/>
        <v>54.4</v>
      </c>
      <c r="M9" s="11" t="str">
        <f t="shared" si="5"/>
        <v>PASS</v>
      </c>
      <c r="N9" s="11" t="str" cm="1">
        <f t="array" ref="N9">_xlfn.IFS(L9&gt;91, "A", L9&gt;71, "B", L9&gt;51, "C", L9&gt;35, "D", L9&lt;35, "F")</f>
        <v>C</v>
      </c>
    </row>
    <row r="10" spans="1:14" x14ac:dyDescent="0.3">
      <c r="A10" s="11">
        <v>8</v>
      </c>
      <c r="B10" s="11" t="s">
        <v>72</v>
      </c>
      <c r="C10" s="11">
        <v>83</v>
      </c>
      <c r="D10" s="11">
        <v>65</v>
      </c>
      <c r="E10" s="11">
        <v>97</v>
      </c>
      <c r="F10" s="11">
        <v>82</v>
      </c>
      <c r="G10" s="11">
        <v>67</v>
      </c>
      <c r="H10" s="11">
        <f t="shared" si="0"/>
        <v>394</v>
      </c>
      <c r="I10" s="11">
        <f t="shared" si="1"/>
        <v>97</v>
      </c>
      <c r="J10" s="11">
        <f t="shared" si="2"/>
        <v>65</v>
      </c>
      <c r="K10" s="11">
        <f t="shared" si="3"/>
        <v>78.8</v>
      </c>
      <c r="L10" s="11">
        <f t="shared" si="4"/>
        <v>78.8</v>
      </c>
      <c r="M10" s="11" t="str">
        <f t="shared" si="5"/>
        <v>PASS</v>
      </c>
      <c r="N10" s="11" t="str" cm="1">
        <f t="array" ref="N10">_xlfn.IFS(L10&gt;91, "A", L10&gt;71, "B", L10&gt;51, "C", L10&gt;35, "D", L10&lt;35, "F")</f>
        <v>B</v>
      </c>
    </row>
    <row r="11" spans="1:14" x14ac:dyDescent="0.3">
      <c r="A11" s="11">
        <v>9</v>
      </c>
      <c r="B11" s="11" t="s">
        <v>71</v>
      </c>
      <c r="C11" s="11">
        <v>16</v>
      </c>
      <c r="D11" s="11">
        <v>48</v>
      </c>
      <c r="E11" s="11">
        <v>65</v>
      </c>
      <c r="F11" s="11">
        <v>60</v>
      </c>
      <c r="G11" s="11">
        <v>50</v>
      </c>
      <c r="H11" s="11">
        <f t="shared" si="0"/>
        <v>239</v>
      </c>
      <c r="I11" s="11">
        <f t="shared" si="1"/>
        <v>65</v>
      </c>
      <c r="J11" s="11">
        <f t="shared" si="2"/>
        <v>16</v>
      </c>
      <c r="K11" s="11">
        <f t="shared" si="3"/>
        <v>47.8</v>
      </c>
      <c r="L11" s="11">
        <f t="shared" si="4"/>
        <v>47.8</v>
      </c>
      <c r="M11" s="11" t="str">
        <f t="shared" si="5"/>
        <v>PASS</v>
      </c>
      <c r="N11" s="11" t="str" cm="1">
        <f t="array" ref="N11">_xlfn.IFS(L11&gt;91, "A", L11&gt;71, "B", L11&gt;51, "C", L11&gt;35, "D", L11&lt;35, "F")</f>
        <v>D</v>
      </c>
    </row>
    <row r="12" spans="1:14" x14ac:dyDescent="0.3">
      <c r="A12" s="11">
        <v>10</v>
      </c>
      <c r="B12" s="11" t="s">
        <v>70</v>
      </c>
      <c r="C12" s="11">
        <v>93</v>
      </c>
      <c r="D12" s="11">
        <v>53</v>
      </c>
      <c r="E12" s="11">
        <v>20</v>
      </c>
      <c r="F12" s="11">
        <v>26</v>
      </c>
      <c r="G12" s="11">
        <v>89</v>
      </c>
      <c r="H12" s="11">
        <f t="shared" si="0"/>
        <v>281</v>
      </c>
      <c r="I12" s="11">
        <f t="shared" si="1"/>
        <v>93</v>
      </c>
      <c r="J12" s="11">
        <f t="shared" si="2"/>
        <v>20</v>
      </c>
      <c r="K12" s="11">
        <f t="shared" si="3"/>
        <v>56.2</v>
      </c>
      <c r="L12" s="11">
        <f t="shared" si="4"/>
        <v>56.2</v>
      </c>
      <c r="M12" s="11" t="str">
        <f t="shared" si="5"/>
        <v>PASS</v>
      </c>
      <c r="N12" s="11" t="str" cm="1">
        <f t="array" ref="N12">_xlfn.IFS(L12&gt;91, "A", L12&gt;71, "B", L12&gt;51, "C", L12&gt;35, "D", L12&lt;35, "F")</f>
        <v>C</v>
      </c>
    </row>
    <row r="13" spans="1:14" x14ac:dyDescent="0.3">
      <c r="A13" s="11">
        <v>11</v>
      </c>
      <c r="B13" s="11" t="s">
        <v>69</v>
      </c>
      <c r="C13" s="11">
        <v>27</v>
      </c>
      <c r="D13" s="11">
        <v>60</v>
      </c>
      <c r="E13" s="11">
        <v>65</v>
      </c>
      <c r="F13" s="11">
        <v>81</v>
      </c>
      <c r="G13" s="11">
        <v>84</v>
      </c>
      <c r="H13" s="11">
        <f t="shared" si="0"/>
        <v>317</v>
      </c>
      <c r="I13" s="11">
        <f t="shared" si="1"/>
        <v>84</v>
      </c>
      <c r="J13" s="11">
        <f t="shared" si="2"/>
        <v>27</v>
      </c>
      <c r="K13" s="11">
        <f t="shared" si="3"/>
        <v>63.4</v>
      </c>
      <c r="L13" s="11">
        <f t="shared" si="4"/>
        <v>63.4</v>
      </c>
      <c r="M13" s="11" t="str">
        <f t="shared" si="5"/>
        <v>PASS</v>
      </c>
      <c r="N13" s="11" t="str" cm="1">
        <f t="array" ref="N13">_xlfn.IFS(L13&gt;91, "A", L13&gt;71, "B", L13&gt;51, "C", L13&gt;35, "D", L13&lt;35, "F")</f>
        <v>C</v>
      </c>
    </row>
    <row r="14" spans="1:14" x14ac:dyDescent="0.3">
      <c r="A14" s="11">
        <v>12</v>
      </c>
      <c r="B14" s="11" t="s">
        <v>68</v>
      </c>
      <c r="C14" s="11">
        <v>92</v>
      </c>
      <c r="D14" s="11">
        <v>26</v>
      </c>
      <c r="E14" s="11">
        <v>17</v>
      </c>
      <c r="F14" s="11">
        <v>51</v>
      </c>
      <c r="G14" s="11">
        <v>95</v>
      </c>
      <c r="H14" s="11">
        <f t="shared" si="0"/>
        <v>281</v>
      </c>
      <c r="I14" s="11">
        <f t="shared" si="1"/>
        <v>95</v>
      </c>
      <c r="J14" s="11">
        <f t="shared" si="2"/>
        <v>17</v>
      </c>
      <c r="K14" s="11">
        <f t="shared" si="3"/>
        <v>56.2</v>
      </c>
      <c r="L14" s="11">
        <f t="shared" si="4"/>
        <v>56.2</v>
      </c>
      <c r="M14" s="11" t="str">
        <f t="shared" si="5"/>
        <v>PASS</v>
      </c>
      <c r="N14" s="11" t="str" cm="1">
        <f t="array" ref="N14">_xlfn.IFS(L14&gt;91, "A", L14&gt;71, "B", L14&gt;51, "C", L14&gt;35, "D", L14&lt;35, "F")</f>
        <v>C</v>
      </c>
    </row>
    <row r="15" spans="1:14" x14ac:dyDescent="0.3">
      <c r="A15" s="11">
        <v>13</v>
      </c>
      <c r="B15" s="11" t="s">
        <v>67</v>
      </c>
      <c r="C15" s="11">
        <v>91</v>
      </c>
      <c r="D15" s="11">
        <v>58</v>
      </c>
      <c r="E15" s="11">
        <v>63</v>
      </c>
      <c r="F15" s="11">
        <v>53</v>
      </c>
      <c r="G15" s="11">
        <v>95</v>
      </c>
      <c r="H15" s="11">
        <f t="shared" si="0"/>
        <v>360</v>
      </c>
      <c r="I15" s="11">
        <f t="shared" si="1"/>
        <v>95</v>
      </c>
      <c r="J15" s="11">
        <f t="shared" si="2"/>
        <v>53</v>
      </c>
      <c r="K15" s="11">
        <f t="shared" si="3"/>
        <v>72</v>
      </c>
      <c r="L15" s="11">
        <f t="shared" si="4"/>
        <v>72</v>
      </c>
      <c r="M15" s="11" t="str">
        <f t="shared" si="5"/>
        <v>PASS</v>
      </c>
      <c r="N15" s="11" t="str" cm="1">
        <f t="array" ref="N15">_xlfn.IFS(L15&gt;91, "A", L15&gt;71, "B", L15&gt;51, "C", L15&gt;35, "D", L15&lt;35, "F")</f>
        <v>B</v>
      </c>
    </row>
    <row r="16" spans="1:14" x14ac:dyDescent="0.3">
      <c r="A16" s="11">
        <v>14</v>
      </c>
      <c r="B16" s="11" t="s">
        <v>66</v>
      </c>
      <c r="C16" s="11">
        <v>41</v>
      </c>
      <c r="D16" s="11">
        <v>81</v>
      </c>
      <c r="E16" s="11">
        <v>44</v>
      </c>
      <c r="F16" s="11">
        <v>42</v>
      </c>
      <c r="G16" s="11">
        <v>25</v>
      </c>
      <c r="H16" s="11">
        <f t="shared" si="0"/>
        <v>233</v>
      </c>
      <c r="I16" s="11">
        <f t="shared" si="1"/>
        <v>81</v>
      </c>
      <c r="J16" s="11">
        <f t="shared" si="2"/>
        <v>25</v>
      </c>
      <c r="K16" s="11">
        <f t="shared" si="3"/>
        <v>46.6</v>
      </c>
      <c r="L16" s="11">
        <f t="shared" si="4"/>
        <v>46.6</v>
      </c>
      <c r="M16" s="11" t="str">
        <f t="shared" si="5"/>
        <v>PASS</v>
      </c>
      <c r="N16" s="11" t="str" cm="1">
        <f t="array" ref="N16">_xlfn.IFS(L16&gt;91, "A", L16&gt;71, "B", L16&gt;51, "C", L16&gt;35, "D", L16&lt;35, "F")</f>
        <v>D</v>
      </c>
    </row>
    <row r="17" spans="1:14" x14ac:dyDescent="0.3">
      <c r="A17" s="11">
        <v>15</v>
      </c>
      <c r="B17" s="11" t="s">
        <v>65</v>
      </c>
      <c r="C17" s="11">
        <v>60</v>
      </c>
      <c r="D17" s="11">
        <v>26</v>
      </c>
      <c r="E17" s="11">
        <v>44</v>
      </c>
      <c r="F17" s="11">
        <v>23</v>
      </c>
      <c r="G17" s="11">
        <v>67</v>
      </c>
      <c r="H17" s="11">
        <f t="shared" si="0"/>
        <v>220</v>
      </c>
      <c r="I17" s="11">
        <f t="shared" si="1"/>
        <v>67</v>
      </c>
      <c r="J17" s="11">
        <f t="shared" si="2"/>
        <v>23</v>
      </c>
      <c r="K17" s="11">
        <f t="shared" si="3"/>
        <v>44</v>
      </c>
      <c r="L17" s="11">
        <f t="shared" si="4"/>
        <v>44</v>
      </c>
      <c r="M17" s="11" t="str">
        <f t="shared" si="5"/>
        <v>PASS</v>
      </c>
      <c r="N17" s="11" t="str" cm="1">
        <f t="array" ref="N17">_xlfn.IFS(L17&gt;91, "A", L17&gt;71, "B", L17&gt;51, "C", L17&gt;35, "D", L17&lt;35, "F")</f>
        <v>D</v>
      </c>
    </row>
    <row r="18" spans="1:14" x14ac:dyDescent="0.3">
      <c r="A18" s="11">
        <v>16</v>
      </c>
      <c r="B18" s="11" t="s">
        <v>64</v>
      </c>
      <c r="C18" s="11">
        <v>90</v>
      </c>
      <c r="D18" s="11">
        <v>15</v>
      </c>
      <c r="E18" s="11">
        <v>51</v>
      </c>
      <c r="F18" s="11">
        <v>32</v>
      </c>
      <c r="G18" s="11">
        <v>15</v>
      </c>
      <c r="H18" s="11">
        <f t="shared" si="0"/>
        <v>203</v>
      </c>
      <c r="I18" s="11">
        <f t="shared" si="1"/>
        <v>90</v>
      </c>
      <c r="J18" s="11">
        <f t="shared" si="2"/>
        <v>15</v>
      </c>
      <c r="K18" s="11">
        <f t="shared" si="3"/>
        <v>40.6</v>
      </c>
      <c r="L18" s="11">
        <f t="shared" si="4"/>
        <v>40.6</v>
      </c>
      <c r="M18" s="11" t="str">
        <f t="shared" si="5"/>
        <v>PASS</v>
      </c>
      <c r="N18" s="11" t="str" cm="1">
        <f t="array" ref="N18">_xlfn.IFS(L18&gt;91, "A", L18&gt;71, "B", L18&gt;51, "C", L18&gt;35, "D", L18&lt;35, "F")</f>
        <v>D</v>
      </c>
    </row>
    <row r="19" spans="1:14" x14ac:dyDescent="0.3">
      <c r="A19" s="11">
        <v>17</v>
      </c>
      <c r="B19" s="11" t="s">
        <v>63</v>
      </c>
      <c r="C19" s="11">
        <v>37</v>
      </c>
      <c r="D19" s="11">
        <v>31</v>
      </c>
      <c r="E19" s="11">
        <v>59</v>
      </c>
      <c r="F19" s="11">
        <v>76</v>
      </c>
      <c r="G19" s="11">
        <v>30</v>
      </c>
      <c r="H19" s="11">
        <f t="shared" si="0"/>
        <v>233</v>
      </c>
      <c r="I19" s="11">
        <f t="shared" si="1"/>
        <v>76</v>
      </c>
      <c r="J19" s="11">
        <f t="shared" si="2"/>
        <v>30</v>
      </c>
      <c r="K19" s="11">
        <f t="shared" si="3"/>
        <v>46.6</v>
      </c>
      <c r="L19" s="11">
        <f t="shared" si="4"/>
        <v>46.6</v>
      </c>
      <c r="M19" s="11" t="str">
        <f t="shared" si="5"/>
        <v>PASS</v>
      </c>
      <c r="N19" s="11" t="str" cm="1">
        <f t="array" ref="N19">_xlfn.IFS(L19&gt;91, "A", L19&gt;71, "B", L19&gt;51, "C", L19&gt;35, "D", L19&lt;35, "F")</f>
        <v>D</v>
      </c>
    </row>
    <row r="20" spans="1:14" x14ac:dyDescent="0.3">
      <c r="A20" s="11">
        <v>18</v>
      </c>
      <c r="B20" s="11" t="s">
        <v>62</v>
      </c>
      <c r="C20" s="11">
        <v>59</v>
      </c>
      <c r="D20" s="11">
        <v>52</v>
      </c>
      <c r="E20" s="11">
        <v>21</v>
      </c>
      <c r="F20" s="11">
        <v>25</v>
      </c>
      <c r="G20" s="11">
        <v>41</v>
      </c>
      <c r="H20" s="11">
        <f t="shared" si="0"/>
        <v>198</v>
      </c>
      <c r="I20" s="11">
        <f t="shared" si="1"/>
        <v>59</v>
      </c>
      <c r="J20" s="11">
        <f t="shared" si="2"/>
        <v>21</v>
      </c>
      <c r="K20" s="11">
        <f t="shared" si="3"/>
        <v>39.6</v>
      </c>
      <c r="L20" s="11">
        <f t="shared" si="4"/>
        <v>39.6</v>
      </c>
      <c r="M20" s="11" t="str">
        <f t="shared" si="5"/>
        <v>PASS</v>
      </c>
      <c r="N20" s="11" t="str" cm="1">
        <f t="array" ref="N20">_xlfn.IFS(L20&gt;91, "A", L20&gt;71, "B", L20&gt;51, "C", L20&gt;35, "D", L20&lt;35, "F")</f>
        <v>D</v>
      </c>
    </row>
    <row r="21" spans="1:14" x14ac:dyDescent="0.3">
      <c r="A21" s="11">
        <v>19</v>
      </c>
      <c r="B21" s="11" t="s">
        <v>61</v>
      </c>
      <c r="C21" s="11">
        <v>33</v>
      </c>
      <c r="D21" s="11">
        <v>47</v>
      </c>
      <c r="E21" s="11">
        <v>81</v>
      </c>
      <c r="F21" s="11">
        <v>84</v>
      </c>
      <c r="G21" s="11">
        <v>46</v>
      </c>
      <c r="H21" s="11">
        <f t="shared" si="0"/>
        <v>291</v>
      </c>
      <c r="I21" s="11">
        <f t="shared" si="1"/>
        <v>84</v>
      </c>
      <c r="J21" s="11">
        <f t="shared" si="2"/>
        <v>33</v>
      </c>
      <c r="K21" s="11">
        <f t="shared" si="3"/>
        <v>58.2</v>
      </c>
      <c r="L21" s="11">
        <f t="shared" si="4"/>
        <v>58.2</v>
      </c>
      <c r="M21" s="11" t="str">
        <f t="shared" si="5"/>
        <v>PASS</v>
      </c>
      <c r="N21" s="11" t="str" cm="1">
        <f t="array" ref="N21">_xlfn.IFS(L21&gt;91, "A", L21&gt;71, "B", L21&gt;51, "C", L21&gt;35, "D", L21&lt;35, "F")</f>
        <v>C</v>
      </c>
    </row>
    <row r="22" spans="1:14" x14ac:dyDescent="0.3">
      <c r="A22" s="11">
        <v>20</v>
      </c>
      <c r="B22" s="11" t="s">
        <v>60</v>
      </c>
      <c r="C22" s="11">
        <v>51</v>
      </c>
      <c r="D22" s="11">
        <v>66</v>
      </c>
      <c r="E22" s="11">
        <v>95</v>
      </c>
      <c r="F22" s="11">
        <v>90</v>
      </c>
      <c r="G22" s="11">
        <v>66</v>
      </c>
      <c r="H22" s="11">
        <f t="shared" si="0"/>
        <v>368</v>
      </c>
      <c r="I22" s="11">
        <f t="shared" si="1"/>
        <v>95</v>
      </c>
      <c r="J22" s="11">
        <f t="shared" si="2"/>
        <v>51</v>
      </c>
      <c r="K22" s="11">
        <f t="shared" si="3"/>
        <v>73.599999999999994</v>
      </c>
      <c r="L22" s="11">
        <f t="shared" si="4"/>
        <v>73.599999999999994</v>
      </c>
      <c r="M22" s="11" t="str">
        <f t="shared" si="5"/>
        <v>PASS</v>
      </c>
      <c r="N22" s="11" t="str" cm="1">
        <f t="array" ref="N22">_xlfn.IFS(L22&gt;91, "A", L22&gt;71, "B", L22&gt;51, "C", L22&gt;35, "D", L22&lt;35, "F")</f>
        <v>B</v>
      </c>
    </row>
    <row r="24" spans="1:14" x14ac:dyDescent="0.3">
      <c r="A24" t="s">
        <v>177</v>
      </c>
      <c r="C24">
        <f>SUM(C3:C23)</f>
        <v>1137</v>
      </c>
      <c r="D24">
        <f t="shared" ref="D24:G24" si="6">SUM(D3:D23)</f>
        <v>985</v>
      </c>
      <c r="E24">
        <f t="shared" si="6"/>
        <v>946</v>
      </c>
      <c r="F24">
        <f t="shared" si="6"/>
        <v>1143</v>
      </c>
      <c r="G24">
        <f t="shared" si="6"/>
        <v>1133</v>
      </c>
    </row>
    <row r="25" spans="1:14" x14ac:dyDescent="0.3">
      <c r="A25" t="s">
        <v>178</v>
      </c>
      <c r="C25">
        <f>MAX(C3:C23)</f>
        <v>93</v>
      </c>
      <c r="D25">
        <f t="shared" ref="D25:G25" si="7">MAX(D3:D23)</f>
        <v>81</v>
      </c>
      <c r="E25">
        <f t="shared" si="7"/>
        <v>97</v>
      </c>
      <c r="F25">
        <f t="shared" si="7"/>
        <v>90</v>
      </c>
      <c r="G25">
        <f t="shared" si="7"/>
        <v>95</v>
      </c>
    </row>
    <row r="26" spans="1:14" x14ac:dyDescent="0.3">
      <c r="A26" t="s">
        <v>179</v>
      </c>
    </row>
    <row r="27" spans="1:14" x14ac:dyDescent="0.3">
      <c r="A27" t="s">
        <v>183</v>
      </c>
    </row>
    <row r="28" spans="1:14" x14ac:dyDescent="0.3">
      <c r="A28" t="s">
        <v>184</v>
      </c>
    </row>
    <row r="29" spans="1:14" x14ac:dyDescent="0.3">
      <c r="A29" t="s">
        <v>180</v>
      </c>
    </row>
    <row r="30" spans="1:14" x14ac:dyDescent="0.3">
      <c r="A30" t="s">
        <v>181</v>
      </c>
    </row>
    <row r="31" spans="1:14" x14ac:dyDescent="0.3">
      <c r="A31" t="s">
        <v>182</v>
      </c>
    </row>
    <row r="32" spans="1:14" x14ac:dyDescent="0.3">
      <c r="A32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5E1A-5234-42F8-803E-597B41AED890}">
  <dimension ref="A1:N77"/>
  <sheetViews>
    <sheetView topLeftCell="A40" zoomScale="110" zoomScaleNormal="110" workbookViewId="0">
      <selection activeCell="L66" sqref="L66:L77"/>
    </sheetView>
  </sheetViews>
  <sheetFormatPr defaultRowHeight="14.4" x14ac:dyDescent="0.3"/>
  <cols>
    <col min="2" max="2" width="33" bestFit="1" customWidth="1"/>
  </cols>
  <sheetData>
    <row r="1" spans="1:12" x14ac:dyDescent="0.3">
      <c r="A1" s="11" t="s">
        <v>104</v>
      </c>
      <c r="B1" s="11" t="s">
        <v>0</v>
      </c>
      <c r="C1" s="11" t="s">
        <v>105</v>
      </c>
      <c r="D1" s="11" t="s">
        <v>106</v>
      </c>
      <c r="E1" s="11" t="s">
        <v>107</v>
      </c>
      <c r="F1" s="11" t="s">
        <v>108</v>
      </c>
      <c r="G1" s="11" t="s">
        <v>109</v>
      </c>
      <c r="H1" s="11" t="s">
        <v>131</v>
      </c>
      <c r="I1" s="11" t="s">
        <v>130</v>
      </c>
      <c r="J1" s="11" t="s">
        <v>129</v>
      </c>
      <c r="K1" s="11" t="s">
        <v>128</v>
      </c>
      <c r="L1" s="11" t="s">
        <v>127</v>
      </c>
    </row>
    <row r="2" spans="1:12" x14ac:dyDescent="0.3">
      <c r="A2" s="11">
        <v>1</v>
      </c>
      <c r="B2" s="11" t="s">
        <v>79</v>
      </c>
      <c r="C2" s="11">
        <v>38</v>
      </c>
      <c r="D2" s="11">
        <v>68</v>
      </c>
      <c r="E2" s="11">
        <v>22</v>
      </c>
      <c r="F2" s="11">
        <v>84</v>
      </c>
      <c r="G2" s="11">
        <v>32</v>
      </c>
      <c r="H2" s="11">
        <f>SUM(C2:G2)</f>
        <v>244</v>
      </c>
      <c r="I2" s="11">
        <f>MAX(C2:G2)</f>
        <v>84</v>
      </c>
      <c r="J2" s="11">
        <f>MIN(C2:G2)</f>
        <v>22</v>
      </c>
      <c r="K2" s="11">
        <f>COUNT(C2:G2)</f>
        <v>5</v>
      </c>
      <c r="L2" s="11">
        <f>AVERAGE(C2:G2)</f>
        <v>48.8</v>
      </c>
    </row>
    <row r="3" spans="1:12" x14ac:dyDescent="0.3">
      <c r="A3" s="11">
        <v>2</v>
      </c>
      <c r="B3" s="11" t="s">
        <v>78</v>
      </c>
      <c r="C3" s="11">
        <v>28</v>
      </c>
      <c r="D3" s="11">
        <v>23</v>
      </c>
      <c r="E3" s="11">
        <v>20</v>
      </c>
      <c r="F3" s="11">
        <v>37</v>
      </c>
      <c r="G3" s="11">
        <v>24</v>
      </c>
      <c r="H3" s="11">
        <f t="shared" ref="H3:H21" si="0">SUM(C3:G3)</f>
        <v>132</v>
      </c>
      <c r="I3" s="11">
        <f t="shared" ref="I3:I21" si="1">MAX(C3:G3)</f>
        <v>37</v>
      </c>
      <c r="J3" s="11">
        <f t="shared" ref="J3:J21" si="2">MIN(C3:G3)</f>
        <v>20</v>
      </c>
      <c r="K3" s="11">
        <f t="shared" ref="K3:K21" si="3">COUNT(C3:G3)</f>
        <v>5</v>
      </c>
      <c r="L3" s="11">
        <f t="shared" ref="L3:L21" si="4">AVERAGE(C3:G3)</f>
        <v>26.4</v>
      </c>
    </row>
    <row r="4" spans="1:12" x14ac:dyDescent="0.3">
      <c r="A4" s="11">
        <v>3</v>
      </c>
      <c r="B4" s="11" t="s">
        <v>77</v>
      </c>
      <c r="C4" s="11">
        <v>74</v>
      </c>
      <c r="D4" s="11">
        <v>81</v>
      </c>
      <c r="E4" s="11">
        <v>27</v>
      </c>
      <c r="F4" s="11">
        <v>34</v>
      </c>
      <c r="G4" s="11">
        <v>59</v>
      </c>
      <c r="H4" s="11">
        <f t="shared" si="0"/>
        <v>275</v>
      </c>
      <c r="I4" s="11">
        <f t="shared" si="1"/>
        <v>81</v>
      </c>
      <c r="J4" s="11">
        <f t="shared" si="2"/>
        <v>27</v>
      </c>
      <c r="K4" s="11">
        <f t="shared" si="3"/>
        <v>5</v>
      </c>
      <c r="L4" s="11">
        <f t="shared" si="4"/>
        <v>55</v>
      </c>
    </row>
    <row r="5" spans="1:12" x14ac:dyDescent="0.3">
      <c r="A5" s="11">
        <v>4</v>
      </c>
      <c r="B5" s="11" t="s">
        <v>76</v>
      </c>
      <c r="C5" s="11">
        <v>77</v>
      </c>
      <c r="D5" s="11">
        <v>58</v>
      </c>
      <c r="E5" s="11">
        <v>17</v>
      </c>
      <c r="F5" s="11">
        <v>83</v>
      </c>
      <c r="G5" s="11">
        <v>62</v>
      </c>
      <c r="H5" s="11">
        <f t="shared" si="0"/>
        <v>297</v>
      </c>
      <c r="I5" s="11">
        <f t="shared" si="1"/>
        <v>83</v>
      </c>
      <c r="J5" s="11">
        <f t="shared" si="2"/>
        <v>17</v>
      </c>
      <c r="K5" s="11">
        <f t="shared" si="3"/>
        <v>5</v>
      </c>
      <c r="L5" s="11">
        <f t="shared" si="4"/>
        <v>59.4</v>
      </c>
    </row>
    <row r="6" spans="1:12" x14ac:dyDescent="0.3">
      <c r="A6" s="11">
        <v>5</v>
      </c>
      <c r="B6" s="11" t="s">
        <v>75</v>
      </c>
      <c r="C6" s="11">
        <v>38</v>
      </c>
      <c r="D6" s="11">
        <v>72</v>
      </c>
      <c r="E6" s="11">
        <v>28</v>
      </c>
      <c r="F6" s="11">
        <v>31</v>
      </c>
      <c r="G6" s="11">
        <v>63</v>
      </c>
      <c r="H6" s="11">
        <f t="shared" si="0"/>
        <v>232</v>
      </c>
      <c r="I6" s="11">
        <f t="shared" si="1"/>
        <v>72</v>
      </c>
      <c r="J6" s="11">
        <f t="shared" si="2"/>
        <v>28</v>
      </c>
      <c r="K6" s="11">
        <f t="shared" si="3"/>
        <v>5</v>
      </c>
      <c r="L6" s="11">
        <f t="shared" si="4"/>
        <v>46.4</v>
      </c>
    </row>
    <row r="7" spans="1:12" x14ac:dyDescent="0.3">
      <c r="A7" s="11">
        <v>6</v>
      </c>
      <c r="B7" s="11" t="s">
        <v>74</v>
      </c>
      <c r="C7" s="11">
        <v>62</v>
      </c>
      <c r="D7" s="11">
        <v>38</v>
      </c>
      <c r="E7" s="11">
        <v>34</v>
      </c>
      <c r="F7" s="11">
        <v>88</v>
      </c>
      <c r="G7" s="11">
        <v>52</v>
      </c>
      <c r="H7" s="11">
        <f t="shared" si="0"/>
        <v>274</v>
      </c>
      <c r="I7" s="11">
        <f t="shared" si="1"/>
        <v>88</v>
      </c>
      <c r="J7" s="11">
        <f t="shared" si="2"/>
        <v>34</v>
      </c>
      <c r="K7" s="11">
        <f t="shared" si="3"/>
        <v>5</v>
      </c>
      <c r="L7" s="11">
        <f t="shared" si="4"/>
        <v>54.8</v>
      </c>
    </row>
    <row r="8" spans="1:12" x14ac:dyDescent="0.3">
      <c r="A8" s="11">
        <v>7</v>
      </c>
      <c r="B8" s="11" t="s">
        <v>73</v>
      </c>
      <c r="C8" s="11">
        <v>47</v>
      </c>
      <c r="D8" s="11">
        <v>17</v>
      </c>
      <c r="E8" s="11">
        <v>76</v>
      </c>
      <c r="F8" s="11">
        <v>61</v>
      </c>
      <c r="G8" s="11">
        <v>71</v>
      </c>
      <c r="H8" s="11">
        <f t="shared" si="0"/>
        <v>272</v>
      </c>
      <c r="I8" s="11">
        <f t="shared" si="1"/>
        <v>76</v>
      </c>
      <c r="J8" s="11">
        <f t="shared" si="2"/>
        <v>17</v>
      </c>
      <c r="K8" s="11">
        <f t="shared" si="3"/>
        <v>5</v>
      </c>
      <c r="L8" s="11">
        <f t="shared" si="4"/>
        <v>54.4</v>
      </c>
    </row>
    <row r="9" spans="1:12" x14ac:dyDescent="0.3">
      <c r="A9" s="11">
        <v>8</v>
      </c>
      <c r="B9" s="11" t="s">
        <v>72</v>
      </c>
      <c r="C9" s="11">
        <v>83</v>
      </c>
      <c r="D9" s="11">
        <v>65</v>
      </c>
      <c r="E9" s="11">
        <v>97</v>
      </c>
      <c r="F9" s="11">
        <v>82</v>
      </c>
      <c r="G9" s="11">
        <v>67</v>
      </c>
      <c r="H9" s="11">
        <f t="shared" si="0"/>
        <v>394</v>
      </c>
      <c r="I9" s="11">
        <f t="shared" si="1"/>
        <v>97</v>
      </c>
      <c r="J9" s="11">
        <f t="shared" si="2"/>
        <v>65</v>
      </c>
      <c r="K9" s="11">
        <f t="shared" si="3"/>
        <v>5</v>
      </c>
      <c r="L9" s="11">
        <f t="shared" si="4"/>
        <v>78.8</v>
      </c>
    </row>
    <row r="10" spans="1:12" x14ac:dyDescent="0.3">
      <c r="A10" s="11">
        <v>9</v>
      </c>
      <c r="B10" s="11" t="s">
        <v>71</v>
      </c>
      <c r="C10" s="11">
        <v>16</v>
      </c>
      <c r="D10" s="11">
        <v>48</v>
      </c>
      <c r="E10" s="11">
        <v>65</v>
      </c>
      <c r="F10" s="11">
        <v>60</v>
      </c>
      <c r="G10" s="11">
        <v>50</v>
      </c>
      <c r="H10" s="11">
        <f t="shared" si="0"/>
        <v>239</v>
      </c>
      <c r="I10" s="11">
        <f t="shared" si="1"/>
        <v>65</v>
      </c>
      <c r="J10" s="11">
        <f t="shared" si="2"/>
        <v>16</v>
      </c>
      <c r="K10" s="11">
        <f t="shared" si="3"/>
        <v>5</v>
      </c>
      <c r="L10" s="11">
        <f t="shared" si="4"/>
        <v>47.8</v>
      </c>
    </row>
    <row r="11" spans="1:12" x14ac:dyDescent="0.3">
      <c r="A11" s="11">
        <v>10</v>
      </c>
      <c r="B11" s="11" t="s">
        <v>70</v>
      </c>
      <c r="C11" s="11">
        <v>93</v>
      </c>
      <c r="D11" s="11">
        <v>53</v>
      </c>
      <c r="E11" s="11">
        <v>20</v>
      </c>
      <c r="F11" s="11">
        <v>26</v>
      </c>
      <c r="G11" s="11">
        <v>89</v>
      </c>
      <c r="H11" s="11">
        <f t="shared" si="0"/>
        <v>281</v>
      </c>
      <c r="I11" s="11">
        <f t="shared" si="1"/>
        <v>93</v>
      </c>
      <c r="J11" s="11">
        <f t="shared" si="2"/>
        <v>20</v>
      </c>
      <c r="K11" s="11">
        <f t="shared" si="3"/>
        <v>5</v>
      </c>
      <c r="L11" s="11">
        <f t="shared" si="4"/>
        <v>56.2</v>
      </c>
    </row>
    <row r="12" spans="1:12" x14ac:dyDescent="0.3">
      <c r="A12" s="11">
        <v>11</v>
      </c>
      <c r="B12" s="11" t="s">
        <v>69</v>
      </c>
      <c r="C12" s="11">
        <v>27</v>
      </c>
      <c r="D12" s="11">
        <v>60</v>
      </c>
      <c r="E12" s="11">
        <v>65</v>
      </c>
      <c r="F12" s="11">
        <v>81</v>
      </c>
      <c r="G12" s="11">
        <v>84</v>
      </c>
      <c r="H12" s="11">
        <f t="shared" si="0"/>
        <v>317</v>
      </c>
      <c r="I12" s="11">
        <f t="shared" si="1"/>
        <v>84</v>
      </c>
      <c r="J12" s="11">
        <f t="shared" si="2"/>
        <v>27</v>
      </c>
      <c r="K12" s="11">
        <f t="shared" si="3"/>
        <v>5</v>
      </c>
      <c r="L12" s="11">
        <f t="shared" si="4"/>
        <v>63.4</v>
      </c>
    </row>
    <row r="13" spans="1:12" x14ac:dyDescent="0.3">
      <c r="A13" s="11">
        <v>12</v>
      </c>
      <c r="B13" s="11" t="s">
        <v>68</v>
      </c>
      <c r="C13" s="11">
        <v>92</v>
      </c>
      <c r="D13" s="11">
        <v>26</v>
      </c>
      <c r="E13" s="11">
        <v>17</v>
      </c>
      <c r="F13" s="11">
        <v>51</v>
      </c>
      <c r="G13" s="11">
        <v>95</v>
      </c>
      <c r="H13" s="11">
        <f t="shared" si="0"/>
        <v>281</v>
      </c>
      <c r="I13" s="11">
        <f t="shared" si="1"/>
        <v>95</v>
      </c>
      <c r="J13" s="11">
        <f t="shared" si="2"/>
        <v>17</v>
      </c>
      <c r="K13" s="11">
        <f t="shared" si="3"/>
        <v>5</v>
      </c>
      <c r="L13" s="11">
        <f t="shared" si="4"/>
        <v>56.2</v>
      </c>
    </row>
    <row r="14" spans="1:12" x14ac:dyDescent="0.3">
      <c r="A14" s="11">
        <v>13</v>
      </c>
      <c r="B14" s="11" t="s">
        <v>67</v>
      </c>
      <c r="C14" s="11">
        <v>91</v>
      </c>
      <c r="D14" s="11">
        <v>58</v>
      </c>
      <c r="E14" s="11">
        <v>63</v>
      </c>
      <c r="F14" s="11">
        <v>53</v>
      </c>
      <c r="G14" s="11">
        <v>95</v>
      </c>
      <c r="H14" s="11">
        <f t="shared" si="0"/>
        <v>360</v>
      </c>
      <c r="I14" s="11">
        <f t="shared" si="1"/>
        <v>95</v>
      </c>
      <c r="J14" s="11">
        <f t="shared" si="2"/>
        <v>53</v>
      </c>
      <c r="K14" s="11">
        <f t="shared" si="3"/>
        <v>5</v>
      </c>
      <c r="L14" s="11">
        <f t="shared" si="4"/>
        <v>72</v>
      </c>
    </row>
    <row r="15" spans="1:12" x14ac:dyDescent="0.3">
      <c r="A15" s="11">
        <v>14</v>
      </c>
      <c r="B15" s="11" t="s">
        <v>66</v>
      </c>
      <c r="C15" s="11">
        <v>41</v>
      </c>
      <c r="D15" s="11">
        <v>81</v>
      </c>
      <c r="E15" s="11">
        <v>44</v>
      </c>
      <c r="F15" s="11">
        <v>42</v>
      </c>
      <c r="G15" s="11">
        <v>25</v>
      </c>
      <c r="H15" s="11">
        <f t="shared" si="0"/>
        <v>233</v>
      </c>
      <c r="I15" s="11">
        <f t="shared" si="1"/>
        <v>81</v>
      </c>
      <c r="J15" s="11">
        <f t="shared" si="2"/>
        <v>25</v>
      </c>
      <c r="K15" s="11">
        <f t="shared" si="3"/>
        <v>5</v>
      </c>
      <c r="L15" s="11">
        <f t="shared" si="4"/>
        <v>46.6</v>
      </c>
    </row>
    <row r="16" spans="1:12" x14ac:dyDescent="0.3">
      <c r="A16" s="11">
        <v>15</v>
      </c>
      <c r="B16" s="11" t="s">
        <v>65</v>
      </c>
      <c r="C16" s="11">
        <v>60</v>
      </c>
      <c r="D16" s="11">
        <v>26</v>
      </c>
      <c r="E16" s="11">
        <v>44</v>
      </c>
      <c r="F16" s="11">
        <v>23</v>
      </c>
      <c r="G16" s="11">
        <v>67</v>
      </c>
      <c r="H16" s="11">
        <f t="shared" si="0"/>
        <v>220</v>
      </c>
      <c r="I16" s="11">
        <f t="shared" si="1"/>
        <v>67</v>
      </c>
      <c r="J16" s="11">
        <f t="shared" si="2"/>
        <v>23</v>
      </c>
      <c r="K16" s="11">
        <f t="shared" si="3"/>
        <v>5</v>
      </c>
      <c r="L16" s="11">
        <f t="shared" si="4"/>
        <v>44</v>
      </c>
    </row>
    <row r="17" spans="1:12" x14ac:dyDescent="0.3">
      <c r="A17" s="11">
        <v>16</v>
      </c>
      <c r="B17" s="11" t="s">
        <v>64</v>
      </c>
      <c r="C17" s="11">
        <v>90</v>
      </c>
      <c r="D17" s="11">
        <v>15</v>
      </c>
      <c r="E17" s="11">
        <v>51</v>
      </c>
      <c r="F17" s="11">
        <v>32</v>
      </c>
      <c r="G17" s="11">
        <v>15</v>
      </c>
      <c r="H17" s="11">
        <f t="shared" si="0"/>
        <v>203</v>
      </c>
      <c r="I17" s="11">
        <f t="shared" si="1"/>
        <v>90</v>
      </c>
      <c r="J17" s="11">
        <f t="shared" si="2"/>
        <v>15</v>
      </c>
      <c r="K17" s="11">
        <f t="shared" si="3"/>
        <v>5</v>
      </c>
      <c r="L17" s="11">
        <f t="shared" si="4"/>
        <v>40.6</v>
      </c>
    </row>
    <row r="18" spans="1:12" x14ac:dyDescent="0.3">
      <c r="A18" s="11">
        <v>17</v>
      </c>
      <c r="B18" s="11" t="s">
        <v>63</v>
      </c>
      <c r="C18" s="11">
        <v>37</v>
      </c>
      <c r="D18" s="11">
        <v>31</v>
      </c>
      <c r="E18" s="11">
        <v>59</v>
      </c>
      <c r="F18" s="11">
        <v>76</v>
      </c>
      <c r="G18" s="11">
        <v>30</v>
      </c>
      <c r="H18" s="11">
        <f t="shared" si="0"/>
        <v>233</v>
      </c>
      <c r="I18" s="11">
        <f t="shared" si="1"/>
        <v>76</v>
      </c>
      <c r="J18" s="11">
        <f t="shared" si="2"/>
        <v>30</v>
      </c>
      <c r="K18" s="11">
        <f t="shared" si="3"/>
        <v>5</v>
      </c>
      <c r="L18" s="11">
        <f t="shared" si="4"/>
        <v>46.6</v>
      </c>
    </row>
    <row r="19" spans="1:12" x14ac:dyDescent="0.3">
      <c r="A19" s="11">
        <v>18</v>
      </c>
      <c r="B19" s="11" t="s">
        <v>62</v>
      </c>
      <c r="C19" s="11">
        <v>59</v>
      </c>
      <c r="D19" s="11">
        <v>52</v>
      </c>
      <c r="E19" s="11">
        <v>21</v>
      </c>
      <c r="F19" s="11">
        <v>25</v>
      </c>
      <c r="G19" s="11">
        <v>41</v>
      </c>
      <c r="H19" s="11">
        <f t="shared" si="0"/>
        <v>198</v>
      </c>
      <c r="I19" s="11">
        <f t="shared" si="1"/>
        <v>59</v>
      </c>
      <c r="J19" s="11">
        <f t="shared" si="2"/>
        <v>21</v>
      </c>
      <c r="K19" s="11">
        <f t="shared" si="3"/>
        <v>5</v>
      </c>
      <c r="L19" s="11">
        <f t="shared" si="4"/>
        <v>39.6</v>
      </c>
    </row>
    <row r="20" spans="1:12" x14ac:dyDescent="0.3">
      <c r="A20" s="11">
        <v>19</v>
      </c>
      <c r="B20" s="11" t="s">
        <v>61</v>
      </c>
      <c r="C20" s="11">
        <v>33</v>
      </c>
      <c r="D20" s="11">
        <v>47</v>
      </c>
      <c r="E20" s="11">
        <v>81</v>
      </c>
      <c r="F20" s="11">
        <v>84</v>
      </c>
      <c r="G20" s="11">
        <v>46</v>
      </c>
      <c r="H20" s="11">
        <f t="shared" si="0"/>
        <v>291</v>
      </c>
      <c r="I20" s="11">
        <f t="shared" si="1"/>
        <v>84</v>
      </c>
      <c r="J20" s="11">
        <f t="shared" si="2"/>
        <v>33</v>
      </c>
      <c r="K20" s="11">
        <f t="shared" si="3"/>
        <v>5</v>
      </c>
      <c r="L20" s="11">
        <f t="shared" si="4"/>
        <v>58.2</v>
      </c>
    </row>
    <row r="21" spans="1:12" x14ac:dyDescent="0.3">
      <c r="A21" s="11">
        <v>20</v>
      </c>
      <c r="B21" s="11" t="s">
        <v>60</v>
      </c>
      <c r="C21" s="11">
        <v>51</v>
      </c>
      <c r="D21" s="11">
        <v>66</v>
      </c>
      <c r="E21" s="11">
        <v>95</v>
      </c>
      <c r="F21" s="11">
        <v>90</v>
      </c>
      <c r="G21" s="11">
        <v>66</v>
      </c>
      <c r="H21" s="11">
        <f t="shared" si="0"/>
        <v>368</v>
      </c>
      <c r="I21" s="11">
        <f t="shared" si="1"/>
        <v>95</v>
      </c>
      <c r="J21" s="11">
        <f t="shared" si="2"/>
        <v>51</v>
      </c>
      <c r="K21" s="11">
        <f t="shared" si="3"/>
        <v>5</v>
      </c>
      <c r="L21" s="11">
        <f t="shared" si="4"/>
        <v>73.599999999999994</v>
      </c>
    </row>
    <row r="26" spans="1:12" x14ac:dyDescent="0.3">
      <c r="B26" s="11" t="s">
        <v>79</v>
      </c>
      <c r="C26">
        <v>38</v>
      </c>
      <c r="D26">
        <v>9</v>
      </c>
      <c r="F26" s="11">
        <v>38</v>
      </c>
      <c r="G26">
        <f t="shared" ref="G26:G45" si="5">F26+D26</f>
        <v>47</v>
      </c>
      <c r="H26" s="11">
        <f t="shared" ref="H26:H45" si="6">SUM(C26:G26)</f>
        <v>132</v>
      </c>
      <c r="I26" s="11">
        <f t="shared" ref="I26:I45" si="7">MAX(C26:G26)</f>
        <v>47</v>
      </c>
      <c r="J26" s="11">
        <f t="shared" ref="J26:J45" si="8">MIN(C26:G26)</f>
        <v>9</v>
      </c>
      <c r="K26" s="11">
        <f t="shared" ref="K26:K45" si="9">COUNT(C26:G26)</f>
        <v>4</v>
      </c>
      <c r="L26" s="11">
        <f t="shared" ref="L26:L45" si="10">AVERAGE(C26:G26)</f>
        <v>33</v>
      </c>
    </row>
    <row r="27" spans="1:12" x14ac:dyDescent="0.3">
      <c r="B27" s="11" t="s">
        <v>78</v>
      </c>
      <c r="C27">
        <v>28</v>
      </c>
      <c r="D27">
        <v>3</v>
      </c>
      <c r="F27" s="11">
        <v>28</v>
      </c>
      <c r="G27">
        <f t="shared" si="5"/>
        <v>31</v>
      </c>
      <c r="H27" s="11">
        <f t="shared" si="6"/>
        <v>90</v>
      </c>
      <c r="I27" s="11">
        <f t="shared" si="7"/>
        <v>31</v>
      </c>
      <c r="J27" s="11">
        <f t="shared" si="8"/>
        <v>3</v>
      </c>
      <c r="K27" s="11">
        <f t="shared" si="9"/>
        <v>4</v>
      </c>
      <c r="L27" s="11">
        <f t="shared" si="10"/>
        <v>22.5</v>
      </c>
    </row>
    <row r="28" spans="1:12" x14ac:dyDescent="0.3">
      <c r="B28" s="11" t="s">
        <v>77</v>
      </c>
      <c r="C28">
        <v>74</v>
      </c>
      <c r="D28">
        <v>5</v>
      </c>
      <c r="F28" s="11">
        <v>74</v>
      </c>
      <c r="G28">
        <f t="shared" si="5"/>
        <v>79</v>
      </c>
      <c r="H28" s="11">
        <f t="shared" si="6"/>
        <v>232</v>
      </c>
      <c r="I28" s="11">
        <f t="shared" si="7"/>
        <v>79</v>
      </c>
      <c r="J28" s="11">
        <f t="shared" si="8"/>
        <v>5</v>
      </c>
      <c r="K28" s="11">
        <f t="shared" si="9"/>
        <v>4</v>
      </c>
      <c r="L28" s="11">
        <f t="shared" si="10"/>
        <v>58</v>
      </c>
    </row>
    <row r="29" spans="1:12" x14ac:dyDescent="0.3">
      <c r="B29" s="11" t="s">
        <v>76</v>
      </c>
      <c r="C29">
        <v>77</v>
      </c>
      <c r="D29">
        <v>3</v>
      </c>
      <c r="F29" s="11">
        <v>77</v>
      </c>
      <c r="G29">
        <f t="shared" si="5"/>
        <v>80</v>
      </c>
      <c r="H29" s="11">
        <f t="shared" si="6"/>
        <v>237</v>
      </c>
      <c r="I29" s="11">
        <f t="shared" si="7"/>
        <v>80</v>
      </c>
      <c r="J29" s="11">
        <f t="shared" si="8"/>
        <v>3</v>
      </c>
      <c r="K29" s="11">
        <f t="shared" si="9"/>
        <v>4</v>
      </c>
      <c r="L29" s="11">
        <f t="shared" si="10"/>
        <v>59.25</v>
      </c>
    </row>
    <row r="30" spans="1:12" x14ac:dyDescent="0.3">
      <c r="B30" s="11" t="s">
        <v>75</v>
      </c>
      <c r="C30">
        <v>38</v>
      </c>
      <c r="D30">
        <v>2</v>
      </c>
      <c r="F30" s="11">
        <v>38</v>
      </c>
      <c r="G30">
        <f t="shared" si="5"/>
        <v>40</v>
      </c>
      <c r="H30" s="11">
        <f t="shared" si="6"/>
        <v>118</v>
      </c>
      <c r="I30" s="11">
        <f t="shared" si="7"/>
        <v>40</v>
      </c>
      <c r="J30" s="11">
        <f t="shared" si="8"/>
        <v>2</v>
      </c>
      <c r="K30" s="11">
        <f t="shared" si="9"/>
        <v>4</v>
      </c>
      <c r="L30" s="11">
        <f t="shared" si="10"/>
        <v>29.5</v>
      </c>
    </row>
    <row r="31" spans="1:12" x14ac:dyDescent="0.3">
      <c r="B31" s="11" t="s">
        <v>74</v>
      </c>
      <c r="C31">
        <v>62</v>
      </c>
      <c r="D31">
        <v>3</v>
      </c>
      <c r="F31" s="11">
        <v>62</v>
      </c>
      <c r="G31">
        <f t="shared" si="5"/>
        <v>65</v>
      </c>
      <c r="H31" s="11">
        <f t="shared" si="6"/>
        <v>192</v>
      </c>
      <c r="I31" s="11">
        <f t="shared" si="7"/>
        <v>65</v>
      </c>
      <c r="J31" s="11">
        <f t="shared" si="8"/>
        <v>3</v>
      </c>
      <c r="K31" s="11">
        <f t="shared" si="9"/>
        <v>4</v>
      </c>
      <c r="L31" s="11">
        <f t="shared" si="10"/>
        <v>48</v>
      </c>
    </row>
    <row r="32" spans="1:12" x14ac:dyDescent="0.3">
      <c r="B32" s="11" t="s">
        <v>73</v>
      </c>
      <c r="C32">
        <v>47</v>
      </c>
      <c r="D32">
        <v>10</v>
      </c>
      <c r="F32" s="11">
        <v>47</v>
      </c>
      <c r="G32">
        <f t="shared" si="5"/>
        <v>57</v>
      </c>
      <c r="H32" s="11">
        <f t="shared" si="6"/>
        <v>161</v>
      </c>
      <c r="I32" s="11">
        <f t="shared" si="7"/>
        <v>57</v>
      </c>
      <c r="J32" s="11">
        <f t="shared" si="8"/>
        <v>10</v>
      </c>
      <c r="K32" s="11">
        <f t="shared" si="9"/>
        <v>4</v>
      </c>
      <c r="L32" s="11">
        <f t="shared" si="10"/>
        <v>40.25</v>
      </c>
    </row>
    <row r="33" spans="2:12" x14ac:dyDescent="0.3">
      <c r="B33" s="11" t="s">
        <v>72</v>
      </c>
      <c r="C33">
        <v>83</v>
      </c>
      <c r="D33">
        <v>6</v>
      </c>
      <c r="F33" s="11">
        <v>83</v>
      </c>
      <c r="G33">
        <f t="shared" si="5"/>
        <v>89</v>
      </c>
      <c r="H33" s="11">
        <f t="shared" si="6"/>
        <v>261</v>
      </c>
      <c r="I33" s="11">
        <f t="shared" si="7"/>
        <v>89</v>
      </c>
      <c r="J33" s="11">
        <f t="shared" si="8"/>
        <v>6</v>
      </c>
      <c r="K33" s="11">
        <f t="shared" si="9"/>
        <v>4</v>
      </c>
      <c r="L33" s="11">
        <f t="shared" si="10"/>
        <v>65.25</v>
      </c>
    </row>
    <row r="34" spans="2:12" x14ac:dyDescent="0.3">
      <c r="B34" s="11" t="s">
        <v>71</v>
      </c>
      <c r="C34">
        <v>16</v>
      </c>
      <c r="D34">
        <v>3</v>
      </c>
      <c r="F34" s="11">
        <v>16</v>
      </c>
      <c r="G34">
        <f t="shared" si="5"/>
        <v>19</v>
      </c>
      <c r="H34" s="11">
        <f t="shared" si="6"/>
        <v>54</v>
      </c>
      <c r="I34" s="11">
        <f t="shared" si="7"/>
        <v>19</v>
      </c>
      <c r="J34" s="11">
        <f t="shared" si="8"/>
        <v>3</v>
      </c>
      <c r="K34" s="11">
        <f t="shared" si="9"/>
        <v>4</v>
      </c>
      <c r="L34" s="11">
        <f t="shared" si="10"/>
        <v>13.5</v>
      </c>
    </row>
    <row r="35" spans="2:12" x14ac:dyDescent="0.3">
      <c r="B35" s="11" t="s">
        <v>70</v>
      </c>
      <c r="C35">
        <v>93</v>
      </c>
      <c r="D35">
        <v>3</v>
      </c>
      <c r="F35" s="11">
        <v>93</v>
      </c>
      <c r="G35">
        <f t="shared" si="5"/>
        <v>96</v>
      </c>
      <c r="H35" s="11">
        <f t="shared" si="6"/>
        <v>285</v>
      </c>
      <c r="I35" s="11">
        <f t="shared" si="7"/>
        <v>96</v>
      </c>
      <c r="J35" s="11">
        <f t="shared" si="8"/>
        <v>3</v>
      </c>
      <c r="K35" s="11">
        <f t="shared" si="9"/>
        <v>4</v>
      </c>
      <c r="L35" s="11">
        <f t="shared" si="10"/>
        <v>71.25</v>
      </c>
    </row>
    <row r="36" spans="2:12" x14ac:dyDescent="0.3">
      <c r="B36" s="11" t="s">
        <v>69</v>
      </c>
      <c r="C36">
        <v>27</v>
      </c>
      <c r="D36">
        <v>7</v>
      </c>
      <c r="F36" s="11">
        <v>27</v>
      </c>
      <c r="G36">
        <f t="shared" si="5"/>
        <v>34</v>
      </c>
      <c r="H36" s="11">
        <f t="shared" si="6"/>
        <v>95</v>
      </c>
      <c r="I36" s="11">
        <f t="shared" si="7"/>
        <v>34</v>
      </c>
      <c r="J36" s="11">
        <f t="shared" si="8"/>
        <v>7</v>
      </c>
      <c r="K36" s="11">
        <f t="shared" si="9"/>
        <v>4</v>
      </c>
      <c r="L36" s="11">
        <f t="shared" si="10"/>
        <v>23.75</v>
      </c>
    </row>
    <row r="37" spans="2:12" x14ac:dyDescent="0.3">
      <c r="B37" s="11" t="s">
        <v>68</v>
      </c>
      <c r="C37">
        <v>92</v>
      </c>
      <c r="D37">
        <v>8</v>
      </c>
      <c r="F37" s="11">
        <v>92</v>
      </c>
      <c r="G37">
        <f t="shared" si="5"/>
        <v>100</v>
      </c>
      <c r="H37" s="11">
        <f t="shared" si="6"/>
        <v>292</v>
      </c>
      <c r="I37" s="11">
        <f t="shared" si="7"/>
        <v>100</v>
      </c>
      <c r="J37" s="11">
        <f t="shared" si="8"/>
        <v>8</v>
      </c>
      <c r="K37" s="11">
        <f t="shared" si="9"/>
        <v>4</v>
      </c>
      <c r="L37" s="11">
        <f t="shared" si="10"/>
        <v>73</v>
      </c>
    </row>
    <row r="38" spans="2:12" x14ac:dyDescent="0.3">
      <c r="B38" s="11" t="s">
        <v>67</v>
      </c>
      <c r="C38">
        <v>91</v>
      </c>
      <c r="D38">
        <v>5</v>
      </c>
      <c r="F38" s="11">
        <v>91</v>
      </c>
      <c r="G38">
        <f t="shared" si="5"/>
        <v>96</v>
      </c>
      <c r="H38" s="11">
        <f t="shared" si="6"/>
        <v>283</v>
      </c>
      <c r="I38" s="11">
        <f t="shared" si="7"/>
        <v>96</v>
      </c>
      <c r="J38" s="11">
        <f t="shared" si="8"/>
        <v>5</v>
      </c>
      <c r="K38" s="11">
        <f t="shared" si="9"/>
        <v>4</v>
      </c>
      <c r="L38" s="11">
        <f t="shared" si="10"/>
        <v>70.75</v>
      </c>
    </row>
    <row r="39" spans="2:12" x14ac:dyDescent="0.3">
      <c r="B39" s="11" t="s">
        <v>66</v>
      </c>
      <c r="C39">
        <v>41</v>
      </c>
      <c r="D39">
        <v>2</v>
      </c>
      <c r="F39" s="11">
        <v>41</v>
      </c>
      <c r="G39">
        <f t="shared" si="5"/>
        <v>43</v>
      </c>
      <c r="H39" s="11">
        <f t="shared" si="6"/>
        <v>127</v>
      </c>
      <c r="I39" s="11">
        <f t="shared" si="7"/>
        <v>43</v>
      </c>
      <c r="J39" s="11">
        <f t="shared" si="8"/>
        <v>2</v>
      </c>
      <c r="K39" s="11">
        <f t="shared" si="9"/>
        <v>4</v>
      </c>
      <c r="L39" s="11">
        <f t="shared" si="10"/>
        <v>31.75</v>
      </c>
    </row>
    <row r="40" spans="2:12" x14ac:dyDescent="0.3">
      <c r="B40" s="11" t="s">
        <v>65</v>
      </c>
      <c r="C40">
        <v>60</v>
      </c>
      <c r="D40">
        <v>4</v>
      </c>
      <c r="F40" s="11">
        <v>60</v>
      </c>
      <c r="G40">
        <f t="shared" si="5"/>
        <v>64</v>
      </c>
      <c r="H40" s="11">
        <f t="shared" si="6"/>
        <v>188</v>
      </c>
      <c r="I40" s="11">
        <f t="shared" si="7"/>
        <v>64</v>
      </c>
      <c r="J40" s="11">
        <f t="shared" si="8"/>
        <v>4</v>
      </c>
      <c r="K40" s="11">
        <f t="shared" si="9"/>
        <v>4</v>
      </c>
      <c r="L40" s="11">
        <f t="shared" si="10"/>
        <v>47</v>
      </c>
    </row>
    <row r="41" spans="2:12" x14ac:dyDescent="0.3">
      <c r="B41" s="11" t="s">
        <v>64</v>
      </c>
      <c r="C41">
        <v>90</v>
      </c>
      <c r="D41">
        <v>6</v>
      </c>
      <c r="F41" s="11">
        <v>90</v>
      </c>
      <c r="G41">
        <f t="shared" si="5"/>
        <v>96</v>
      </c>
      <c r="H41" s="11">
        <f t="shared" si="6"/>
        <v>282</v>
      </c>
      <c r="I41" s="11">
        <f t="shared" si="7"/>
        <v>96</v>
      </c>
      <c r="J41" s="11">
        <f t="shared" si="8"/>
        <v>6</v>
      </c>
      <c r="K41" s="11">
        <f t="shared" si="9"/>
        <v>4</v>
      </c>
      <c r="L41" s="11">
        <f t="shared" si="10"/>
        <v>70.5</v>
      </c>
    </row>
    <row r="42" spans="2:12" x14ac:dyDescent="0.3">
      <c r="B42" s="11" t="s">
        <v>63</v>
      </c>
      <c r="C42">
        <v>37</v>
      </c>
      <c r="D42">
        <v>6</v>
      </c>
      <c r="F42" s="11">
        <v>37</v>
      </c>
      <c r="G42">
        <f t="shared" si="5"/>
        <v>43</v>
      </c>
      <c r="H42" s="11">
        <f t="shared" si="6"/>
        <v>123</v>
      </c>
      <c r="I42" s="11">
        <f t="shared" si="7"/>
        <v>43</v>
      </c>
      <c r="J42" s="11">
        <f t="shared" si="8"/>
        <v>6</v>
      </c>
      <c r="K42" s="11">
        <f t="shared" si="9"/>
        <v>4</v>
      </c>
      <c r="L42" s="11">
        <f t="shared" si="10"/>
        <v>30.75</v>
      </c>
    </row>
    <row r="43" spans="2:12" x14ac:dyDescent="0.3">
      <c r="B43" s="11" t="s">
        <v>62</v>
      </c>
      <c r="C43">
        <v>59</v>
      </c>
      <c r="D43">
        <v>7</v>
      </c>
      <c r="F43" s="11">
        <v>59</v>
      </c>
      <c r="G43">
        <f t="shared" si="5"/>
        <v>66</v>
      </c>
      <c r="H43" s="11">
        <f t="shared" si="6"/>
        <v>191</v>
      </c>
      <c r="I43" s="11">
        <f t="shared" si="7"/>
        <v>66</v>
      </c>
      <c r="J43" s="11">
        <f t="shared" si="8"/>
        <v>7</v>
      </c>
      <c r="K43" s="11">
        <f t="shared" si="9"/>
        <v>4</v>
      </c>
      <c r="L43" s="11">
        <f t="shared" si="10"/>
        <v>47.75</v>
      </c>
    </row>
    <row r="44" spans="2:12" x14ac:dyDescent="0.3">
      <c r="B44" s="11" t="s">
        <v>61</v>
      </c>
      <c r="C44">
        <v>33</v>
      </c>
      <c r="D44">
        <v>4</v>
      </c>
      <c r="F44" s="11">
        <v>33</v>
      </c>
      <c r="G44">
        <f t="shared" si="5"/>
        <v>37</v>
      </c>
      <c r="H44" s="11">
        <f t="shared" si="6"/>
        <v>107</v>
      </c>
      <c r="I44" s="11">
        <f t="shared" si="7"/>
        <v>37</v>
      </c>
      <c r="J44" s="11">
        <f t="shared" si="8"/>
        <v>4</v>
      </c>
      <c r="K44" s="11">
        <f t="shared" si="9"/>
        <v>4</v>
      </c>
      <c r="L44" s="11">
        <f t="shared" si="10"/>
        <v>26.75</v>
      </c>
    </row>
    <row r="45" spans="2:12" x14ac:dyDescent="0.3">
      <c r="B45" s="11" t="s">
        <v>60</v>
      </c>
      <c r="C45">
        <v>51</v>
      </c>
      <c r="D45">
        <v>1</v>
      </c>
      <c r="F45" s="11">
        <v>51</v>
      </c>
      <c r="G45">
        <f t="shared" si="5"/>
        <v>52</v>
      </c>
      <c r="H45" s="11">
        <f t="shared" si="6"/>
        <v>155</v>
      </c>
      <c r="I45" s="11">
        <f t="shared" si="7"/>
        <v>52</v>
      </c>
      <c r="J45" s="11">
        <f t="shared" si="8"/>
        <v>1</v>
      </c>
      <c r="K45" s="11">
        <f t="shared" si="9"/>
        <v>4</v>
      </c>
      <c r="L45" s="11">
        <f t="shared" si="10"/>
        <v>38.75</v>
      </c>
    </row>
    <row r="52" spans="2:14" x14ac:dyDescent="0.3">
      <c r="B52" s="11" t="s">
        <v>104</v>
      </c>
      <c r="C52" s="11">
        <v>1</v>
      </c>
      <c r="D52" s="11">
        <v>2</v>
      </c>
      <c r="E52" s="11">
        <v>3</v>
      </c>
      <c r="F52" s="11">
        <v>4</v>
      </c>
      <c r="G52" s="11">
        <v>5</v>
      </c>
      <c r="H52" s="11">
        <v>6</v>
      </c>
      <c r="I52" s="11">
        <v>7</v>
      </c>
      <c r="J52" s="11">
        <v>8</v>
      </c>
      <c r="K52" s="11">
        <v>9</v>
      </c>
      <c r="L52" s="11">
        <v>10</v>
      </c>
      <c r="M52" s="11">
        <v>19</v>
      </c>
      <c r="N52" s="11">
        <v>20</v>
      </c>
    </row>
    <row r="53" spans="2:14" x14ac:dyDescent="0.3">
      <c r="B53" s="11" t="s">
        <v>0</v>
      </c>
      <c r="C53" s="11" t="s">
        <v>79</v>
      </c>
      <c r="D53" s="11" t="s">
        <v>78</v>
      </c>
      <c r="E53" s="11" t="s">
        <v>77</v>
      </c>
      <c r="F53" s="11" t="s">
        <v>76</v>
      </c>
      <c r="G53" s="11" t="s">
        <v>75</v>
      </c>
      <c r="H53" s="11" t="s">
        <v>74</v>
      </c>
      <c r="I53" s="11" t="s">
        <v>73</v>
      </c>
      <c r="J53" s="11" t="s">
        <v>72</v>
      </c>
      <c r="K53" s="11" t="s">
        <v>71</v>
      </c>
      <c r="L53" s="11" t="s">
        <v>70</v>
      </c>
      <c r="M53" s="11" t="s">
        <v>61</v>
      </c>
      <c r="N53" s="11" t="s">
        <v>60</v>
      </c>
    </row>
    <row r="54" spans="2:14" x14ac:dyDescent="0.3">
      <c r="B54" s="11" t="s">
        <v>105</v>
      </c>
      <c r="C54" s="11">
        <v>38</v>
      </c>
      <c r="D54" s="11">
        <v>28</v>
      </c>
      <c r="E54" s="11">
        <v>74</v>
      </c>
      <c r="F54" s="11">
        <v>77</v>
      </c>
      <c r="G54" s="11">
        <v>38</v>
      </c>
      <c r="H54" s="11">
        <v>62</v>
      </c>
      <c r="I54" s="11">
        <v>47</v>
      </c>
      <c r="J54" s="11">
        <v>83</v>
      </c>
      <c r="K54" s="11">
        <v>16</v>
      </c>
      <c r="L54" s="11">
        <v>93</v>
      </c>
      <c r="M54" s="11">
        <v>33</v>
      </c>
      <c r="N54" s="11">
        <v>51</v>
      </c>
    </row>
    <row r="55" spans="2:14" x14ac:dyDescent="0.3">
      <c r="B55" s="11" t="s">
        <v>106</v>
      </c>
      <c r="C55" s="11">
        <v>68</v>
      </c>
      <c r="D55" s="11">
        <v>23</v>
      </c>
      <c r="E55" s="11">
        <v>81</v>
      </c>
      <c r="F55" s="11">
        <v>58</v>
      </c>
      <c r="G55" s="11">
        <v>72</v>
      </c>
      <c r="H55" s="11">
        <v>38</v>
      </c>
      <c r="I55" s="11">
        <v>17</v>
      </c>
      <c r="J55" s="11">
        <v>65</v>
      </c>
      <c r="K55" s="11">
        <v>48</v>
      </c>
      <c r="L55" s="11">
        <v>53</v>
      </c>
      <c r="M55" s="11">
        <v>47</v>
      </c>
      <c r="N55" s="11">
        <v>66</v>
      </c>
    </row>
    <row r="56" spans="2:14" x14ac:dyDescent="0.3">
      <c r="B56" s="11" t="s">
        <v>107</v>
      </c>
      <c r="C56" s="11">
        <v>22</v>
      </c>
      <c r="D56" s="11">
        <v>20</v>
      </c>
      <c r="E56" s="11">
        <v>27</v>
      </c>
      <c r="F56" s="11">
        <v>17</v>
      </c>
      <c r="G56" s="11">
        <v>28</v>
      </c>
      <c r="H56" s="11">
        <v>34</v>
      </c>
      <c r="I56" s="11">
        <v>76</v>
      </c>
      <c r="J56" s="11">
        <v>97</v>
      </c>
      <c r="K56" s="11">
        <v>65</v>
      </c>
      <c r="L56" s="11">
        <v>20</v>
      </c>
      <c r="M56" s="11">
        <v>81</v>
      </c>
      <c r="N56" s="11">
        <v>95</v>
      </c>
    </row>
    <row r="57" spans="2:14" x14ac:dyDescent="0.3">
      <c r="B57" s="11" t="s">
        <v>108</v>
      </c>
      <c r="C57" s="11">
        <v>84</v>
      </c>
      <c r="D57" s="11">
        <v>37</v>
      </c>
      <c r="E57" s="11">
        <v>34</v>
      </c>
      <c r="F57" s="11">
        <v>83</v>
      </c>
      <c r="G57" s="11">
        <v>31</v>
      </c>
      <c r="H57" s="11">
        <v>88</v>
      </c>
      <c r="I57" s="11">
        <v>61</v>
      </c>
      <c r="J57" s="11">
        <v>82</v>
      </c>
      <c r="K57" s="11">
        <v>60</v>
      </c>
      <c r="L57" s="11">
        <v>26</v>
      </c>
      <c r="M57" s="11">
        <v>84</v>
      </c>
      <c r="N57" s="11">
        <v>90</v>
      </c>
    </row>
    <row r="58" spans="2:14" x14ac:dyDescent="0.3">
      <c r="B58" s="13" t="s">
        <v>109</v>
      </c>
      <c r="C58" s="13">
        <v>32</v>
      </c>
      <c r="D58" s="13">
        <v>24</v>
      </c>
      <c r="E58" s="13">
        <v>59</v>
      </c>
      <c r="F58" s="13">
        <v>62</v>
      </c>
      <c r="G58" s="13">
        <v>63</v>
      </c>
      <c r="H58" s="13">
        <v>52</v>
      </c>
      <c r="I58" s="11">
        <v>71</v>
      </c>
      <c r="J58" s="13">
        <v>67</v>
      </c>
      <c r="K58" s="13">
        <v>50</v>
      </c>
      <c r="L58" s="13">
        <v>89</v>
      </c>
      <c r="M58" s="11">
        <v>46</v>
      </c>
      <c r="N58" s="13">
        <v>66</v>
      </c>
    </row>
    <row r="59" spans="2:14" x14ac:dyDescent="0.3">
      <c r="B59" s="17" t="s">
        <v>131</v>
      </c>
      <c r="C59" s="16">
        <f>SUM(C54:C58)</f>
        <v>244</v>
      </c>
      <c r="D59" s="16">
        <f t="shared" ref="D59:N59" si="11">SUM(D54:D58)</f>
        <v>132</v>
      </c>
      <c r="E59" s="16">
        <f t="shared" si="11"/>
        <v>275</v>
      </c>
      <c r="F59" s="16">
        <f t="shared" si="11"/>
        <v>297</v>
      </c>
      <c r="G59" s="16">
        <f t="shared" si="11"/>
        <v>232</v>
      </c>
      <c r="H59" s="16">
        <f t="shared" si="11"/>
        <v>274</v>
      </c>
      <c r="I59" s="16">
        <f t="shared" si="11"/>
        <v>272</v>
      </c>
      <c r="J59" s="16">
        <f t="shared" si="11"/>
        <v>394</v>
      </c>
      <c r="K59" s="16">
        <f t="shared" si="11"/>
        <v>239</v>
      </c>
      <c r="L59" s="16">
        <f t="shared" si="11"/>
        <v>281</v>
      </c>
      <c r="M59" s="16">
        <f t="shared" si="11"/>
        <v>291</v>
      </c>
      <c r="N59" s="16">
        <f t="shared" si="11"/>
        <v>368</v>
      </c>
    </row>
    <row r="60" spans="2:14" x14ac:dyDescent="0.3">
      <c r="B60" s="17" t="s">
        <v>130</v>
      </c>
      <c r="C60" s="16">
        <f>MAX(C54:C58)</f>
        <v>84</v>
      </c>
      <c r="D60" s="16">
        <f t="shared" ref="D60:M60" si="12">MAX(D54:D58)</f>
        <v>37</v>
      </c>
      <c r="E60" s="16">
        <f t="shared" si="12"/>
        <v>81</v>
      </c>
      <c r="F60" s="16">
        <f t="shared" si="12"/>
        <v>83</v>
      </c>
      <c r="G60" s="16">
        <f t="shared" si="12"/>
        <v>72</v>
      </c>
      <c r="H60" s="16">
        <f t="shared" si="12"/>
        <v>88</v>
      </c>
      <c r="I60" s="16">
        <f t="shared" si="12"/>
        <v>76</v>
      </c>
      <c r="J60" s="16">
        <f t="shared" si="12"/>
        <v>97</v>
      </c>
      <c r="K60" s="16">
        <f t="shared" si="12"/>
        <v>65</v>
      </c>
      <c r="L60" s="16">
        <f t="shared" si="12"/>
        <v>93</v>
      </c>
      <c r="M60" s="16">
        <f t="shared" si="12"/>
        <v>84</v>
      </c>
      <c r="N60" s="16">
        <f>MAX(N54:N58)</f>
        <v>95</v>
      </c>
    </row>
    <row r="61" spans="2:14" x14ac:dyDescent="0.3">
      <c r="B61" s="17" t="s">
        <v>129</v>
      </c>
      <c r="C61" s="16">
        <f>MIN(C54:C60)</f>
        <v>22</v>
      </c>
      <c r="D61" s="16">
        <f t="shared" ref="D61:N61" si="13">MIN(D54:D60)</f>
        <v>20</v>
      </c>
      <c r="E61" s="16">
        <f t="shared" si="13"/>
        <v>27</v>
      </c>
      <c r="F61" s="16">
        <f t="shared" si="13"/>
        <v>17</v>
      </c>
      <c r="G61" s="16">
        <f t="shared" si="13"/>
        <v>28</v>
      </c>
      <c r="H61" s="16">
        <f t="shared" si="13"/>
        <v>34</v>
      </c>
      <c r="I61" s="16">
        <f t="shared" si="13"/>
        <v>17</v>
      </c>
      <c r="J61" s="16">
        <f t="shared" si="13"/>
        <v>65</v>
      </c>
      <c r="K61" s="16">
        <f t="shared" si="13"/>
        <v>16</v>
      </c>
      <c r="L61" s="16">
        <f t="shared" si="13"/>
        <v>20</v>
      </c>
      <c r="M61" s="16">
        <f t="shared" si="13"/>
        <v>33</v>
      </c>
      <c r="N61" s="16">
        <f t="shared" si="13"/>
        <v>51</v>
      </c>
    </row>
    <row r="62" spans="2:14" x14ac:dyDescent="0.3">
      <c r="B62" s="17" t="s">
        <v>128</v>
      </c>
      <c r="C62" s="16">
        <f>COUNT(C54:C58)</f>
        <v>5</v>
      </c>
      <c r="D62" s="16">
        <f t="shared" ref="D62:N62" si="14">COUNT(D54:D58)</f>
        <v>5</v>
      </c>
      <c r="E62" s="16">
        <f t="shared" si="14"/>
        <v>5</v>
      </c>
      <c r="F62" s="16">
        <f t="shared" si="14"/>
        <v>5</v>
      </c>
      <c r="G62" s="16">
        <f t="shared" si="14"/>
        <v>5</v>
      </c>
      <c r="H62" s="16">
        <f t="shared" si="14"/>
        <v>5</v>
      </c>
      <c r="I62" s="16">
        <f t="shared" si="14"/>
        <v>5</v>
      </c>
      <c r="J62" s="16">
        <f t="shared" si="14"/>
        <v>5</v>
      </c>
      <c r="K62" s="16">
        <f t="shared" si="14"/>
        <v>5</v>
      </c>
      <c r="L62" s="16">
        <f t="shared" si="14"/>
        <v>5</v>
      </c>
      <c r="M62" s="16">
        <f t="shared" si="14"/>
        <v>5</v>
      </c>
      <c r="N62" s="16">
        <f t="shared" si="14"/>
        <v>5</v>
      </c>
    </row>
    <row r="63" spans="2:14" x14ac:dyDescent="0.3">
      <c r="B63" s="17" t="s">
        <v>127</v>
      </c>
      <c r="C63">
        <f>AVERAGE(C54:C58)</f>
        <v>48.8</v>
      </c>
      <c r="D63">
        <f t="shared" ref="D63:N63" si="15">AVERAGE(D54:D58)</f>
        <v>26.4</v>
      </c>
      <c r="E63">
        <f t="shared" si="15"/>
        <v>55</v>
      </c>
      <c r="F63">
        <f t="shared" si="15"/>
        <v>59.4</v>
      </c>
      <c r="G63">
        <f t="shared" si="15"/>
        <v>46.4</v>
      </c>
      <c r="H63">
        <f t="shared" si="15"/>
        <v>54.8</v>
      </c>
      <c r="I63">
        <f t="shared" si="15"/>
        <v>54.4</v>
      </c>
      <c r="J63">
        <f t="shared" si="15"/>
        <v>78.8</v>
      </c>
      <c r="K63">
        <f t="shared" si="15"/>
        <v>47.8</v>
      </c>
      <c r="L63">
        <f t="shared" si="15"/>
        <v>56.2</v>
      </c>
      <c r="M63">
        <f t="shared" si="15"/>
        <v>58.2</v>
      </c>
      <c r="N63">
        <f t="shared" si="15"/>
        <v>73.599999999999994</v>
      </c>
    </row>
    <row r="64" spans="2:14" x14ac:dyDescent="0.3">
      <c r="B64" s="17"/>
    </row>
    <row r="65" spans="2:12" x14ac:dyDescent="0.3">
      <c r="B65" s="11" t="s">
        <v>0</v>
      </c>
      <c r="C65" s="11" t="s">
        <v>105</v>
      </c>
      <c r="D65" s="11" t="s">
        <v>106</v>
      </c>
      <c r="E65" s="11" t="s">
        <v>107</v>
      </c>
      <c r="F65" s="11" t="s">
        <v>108</v>
      </c>
      <c r="G65" s="13" t="s">
        <v>109</v>
      </c>
      <c r="H65" s="17" t="s">
        <v>131</v>
      </c>
      <c r="I65" s="17" t="s">
        <v>130</v>
      </c>
      <c r="J65" s="17" t="s">
        <v>129</v>
      </c>
      <c r="K65" s="17" t="s">
        <v>128</v>
      </c>
      <c r="L65" s="17" t="s">
        <v>127</v>
      </c>
    </row>
    <row r="66" spans="2:12" x14ac:dyDescent="0.3">
      <c r="B66" s="11" t="s">
        <v>79</v>
      </c>
      <c r="C66" s="11">
        <v>38</v>
      </c>
      <c r="D66" s="11">
        <v>68</v>
      </c>
      <c r="E66" s="11">
        <v>22</v>
      </c>
      <c r="F66" s="11">
        <v>84</v>
      </c>
      <c r="G66" s="13">
        <v>32</v>
      </c>
      <c r="H66">
        <f>SUM(C66:G66)</f>
        <v>244</v>
      </c>
      <c r="I66">
        <f>MAX(C66:G66)</f>
        <v>84</v>
      </c>
      <c r="J66">
        <f>MIN(C66,G66)</f>
        <v>32</v>
      </c>
      <c r="K66">
        <f>COUNT(C66:G66)</f>
        <v>5</v>
      </c>
      <c r="L66">
        <f>AVERAGE(C66:G66)</f>
        <v>48.8</v>
      </c>
    </row>
    <row r="67" spans="2:12" x14ac:dyDescent="0.3">
      <c r="B67" s="11" t="s">
        <v>78</v>
      </c>
      <c r="C67" s="11">
        <v>28</v>
      </c>
      <c r="D67" s="11">
        <v>23</v>
      </c>
      <c r="E67" s="11">
        <v>20</v>
      </c>
      <c r="F67" s="11">
        <v>37</v>
      </c>
      <c r="G67" s="13">
        <v>24</v>
      </c>
      <c r="H67">
        <f t="shared" ref="H67:H77" si="16">SUM(C67:G67)</f>
        <v>132</v>
      </c>
      <c r="I67">
        <f t="shared" ref="I67:I77" si="17">MAX(C67:G67)</f>
        <v>37</v>
      </c>
      <c r="J67">
        <f t="shared" ref="J67:J77" si="18">MIN(C67,G67)</f>
        <v>24</v>
      </c>
      <c r="K67">
        <f t="shared" ref="K67:K77" si="19">COUNT(C67:G67)</f>
        <v>5</v>
      </c>
      <c r="L67">
        <f t="shared" ref="L67:L77" si="20">AVERAGE(C67:G67)</f>
        <v>26.4</v>
      </c>
    </row>
    <row r="68" spans="2:12" x14ac:dyDescent="0.3">
      <c r="B68" s="11" t="s">
        <v>77</v>
      </c>
      <c r="C68" s="11">
        <v>74</v>
      </c>
      <c r="D68" s="11">
        <v>81</v>
      </c>
      <c r="E68" s="11">
        <v>27</v>
      </c>
      <c r="F68" s="11">
        <v>34</v>
      </c>
      <c r="G68" s="13">
        <v>59</v>
      </c>
      <c r="H68">
        <f t="shared" si="16"/>
        <v>275</v>
      </c>
      <c r="I68">
        <f t="shared" si="17"/>
        <v>81</v>
      </c>
      <c r="J68">
        <f t="shared" si="18"/>
        <v>59</v>
      </c>
      <c r="K68">
        <f t="shared" si="19"/>
        <v>5</v>
      </c>
      <c r="L68">
        <f t="shared" si="20"/>
        <v>55</v>
      </c>
    </row>
    <row r="69" spans="2:12" x14ac:dyDescent="0.3">
      <c r="B69" s="11" t="s">
        <v>76</v>
      </c>
      <c r="C69" s="11">
        <v>77</v>
      </c>
      <c r="D69" s="11">
        <v>58</v>
      </c>
      <c r="E69" s="11">
        <v>17</v>
      </c>
      <c r="F69" s="11">
        <v>83</v>
      </c>
      <c r="G69" s="13">
        <v>62</v>
      </c>
      <c r="H69">
        <f t="shared" si="16"/>
        <v>297</v>
      </c>
      <c r="I69">
        <f t="shared" si="17"/>
        <v>83</v>
      </c>
      <c r="J69">
        <f t="shared" si="18"/>
        <v>62</v>
      </c>
      <c r="K69">
        <f t="shared" si="19"/>
        <v>5</v>
      </c>
      <c r="L69">
        <f t="shared" si="20"/>
        <v>59.4</v>
      </c>
    </row>
    <row r="70" spans="2:12" x14ac:dyDescent="0.3">
      <c r="B70" s="11" t="s">
        <v>75</v>
      </c>
      <c r="C70" s="11">
        <v>38</v>
      </c>
      <c r="D70" s="11">
        <v>72</v>
      </c>
      <c r="E70" s="11">
        <v>28</v>
      </c>
      <c r="F70" s="11">
        <v>31</v>
      </c>
      <c r="G70" s="13">
        <v>63</v>
      </c>
      <c r="H70">
        <f t="shared" si="16"/>
        <v>232</v>
      </c>
      <c r="I70">
        <f t="shared" si="17"/>
        <v>72</v>
      </c>
      <c r="J70">
        <f t="shared" si="18"/>
        <v>38</v>
      </c>
      <c r="K70">
        <f t="shared" si="19"/>
        <v>5</v>
      </c>
      <c r="L70">
        <f t="shared" si="20"/>
        <v>46.4</v>
      </c>
    </row>
    <row r="71" spans="2:12" x14ac:dyDescent="0.3">
      <c r="B71" s="11" t="s">
        <v>74</v>
      </c>
      <c r="C71" s="11">
        <v>62</v>
      </c>
      <c r="D71" s="11">
        <v>38</v>
      </c>
      <c r="E71" s="11">
        <v>34</v>
      </c>
      <c r="F71" s="11">
        <v>88</v>
      </c>
      <c r="G71" s="13">
        <v>52</v>
      </c>
      <c r="H71">
        <f t="shared" si="16"/>
        <v>274</v>
      </c>
      <c r="I71">
        <f t="shared" si="17"/>
        <v>88</v>
      </c>
      <c r="J71">
        <f t="shared" si="18"/>
        <v>52</v>
      </c>
      <c r="K71">
        <f t="shared" si="19"/>
        <v>5</v>
      </c>
      <c r="L71">
        <f t="shared" si="20"/>
        <v>54.8</v>
      </c>
    </row>
    <row r="72" spans="2:12" x14ac:dyDescent="0.3">
      <c r="B72" s="11" t="s">
        <v>73</v>
      </c>
      <c r="C72" s="11">
        <v>47</v>
      </c>
      <c r="D72" s="11">
        <v>17</v>
      </c>
      <c r="E72" s="11">
        <v>76</v>
      </c>
      <c r="F72" s="11">
        <v>61</v>
      </c>
      <c r="G72" s="11">
        <v>71</v>
      </c>
      <c r="H72">
        <f t="shared" si="16"/>
        <v>272</v>
      </c>
      <c r="I72">
        <f t="shared" si="17"/>
        <v>76</v>
      </c>
      <c r="J72">
        <f t="shared" si="18"/>
        <v>47</v>
      </c>
      <c r="K72">
        <f t="shared" si="19"/>
        <v>5</v>
      </c>
      <c r="L72">
        <f t="shared" si="20"/>
        <v>54.4</v>
      </c>
    </row>
    <row r="73" spans="2:12" x14ac:dyDescent="0.3">
      <c r="B73" s="11" t="s">
        <v>72</v>
      </c>
      <c r="C73" s="11">
        <v>83</v>
      </c>
      <c r="D73" s="11">
        <v>65</v>
      </c>
      <c r="E73" s="11">
        <v>97</v>
      </c>
      <c r="F73" s="11">
        <v>82</v>
      </c>
      <c r="G73" s="13">
        <v>67</v>
      </c>
      <c r="H73">
        <f t="shared" si="16"/>
        <v>394</v>
      </c>
      <c r="I73">
        <f t="shared" si="17"/>
        <v>97</v>
      </c>
      <c r="J73">
        <f t="shared" si="18"/>
        <v>67</v>
      </c>
      <c r="K73">
        <f t="shared" si="19"/>
        <v>5</v>
      </c>
      <c r="L73">
        <f t="shared" si="20"/>
        <v>78.8</v>
      </c>
    </row>
    <row r="74" spans="2:12" x14ac:dyDescent="0.3">
      <c r="B74" s="11" t="s">
        <v>71</v>
      </c>
      <c r="C74" s="11">
        <v>16</v>
      </c>
      <c r="D74" s="11">
        <v>48</v>
      </c>
      <c r="E74" s="11">
        <v>65</v>
      </c>
      <c r="F74" s="11">
        <v>60</v>
      </c>
      <c r="G74" s="13">
        <v>50</v>
      </c>
      <c r="H74">
        <f t="shared" si="16"/>
        <v>239</v>
      </c>
      <c r="I74">
        <f t="shared" si="17"/>
        <v>65</v>
      </c>
      <c r="J74">
        <f t="shared" si="18"/>
        <v>16</v>
      </c>
      <c r="K74">
        <f t="shared" si="19"/>
        <v>5</v>
      </c>
      <c r="L74">
        <f t="shared" si="20"/>
        <v>47.8</v>
      </c>
    </row>
    <row r="75" spans="2:12" x14ac:dyDescent="0.3">
      <c r="B75" s="11" t="s">
        <v>70</v>
      </c>
      <c r="C75" s="11">
        <v>93</v>
      </c>
      <c r="D75" s="11">
        <v>53</v>
      </c>
      <c r="E75" s="11">
        <v>20</v>
      </c>
      <c r="F75" s="11">
        <v>26</v>
      </c>
      <c r="G75" s="13">
        <v>89</v>
      </c>
      <c r="H75">
        <f t="shared" si="16"/>
        <v>281</v>
      </c>
      <c r="I75">
        <f t="shared" si="17"/>
        <v>93</v>
      </c>
      <c r="J75">
        <f t="shared" si="18"/>
        <v>89</v>
      </c>
      <c r="K75">
        <f t="shared" si="19"/>
        <v>5</v>
      </c>
      <c r="L75">
        <f t="shared" si="20"/>
        <v>56.2</v>
      </c>
    </row>
    <row r="76" spans="2:12" x14ac:dyDescent="0.3">
      <c r="B76" s="11" t="s">
        <v>61</v>
      </c>
      <c r="C76" s="11">
        <v>33</v>
      </c>
      <c r="D76" s="11">
        <v>47</v>
      </c>
      <c r="E76" s="11">
        <v>81</v>
      </c>
      <c r="F76" s="11">
        <v>84</v>
      </c>
      <c r="G76" s="11">
        <v>46</v>
      </c>
      <c r="H76">
        <f t="shared" si="16"/>
        <v>291</v>
      </c>
      <c r="I76">
        <f t="shared" si="17"/>
        <v>84</v>
      </c>
      <c r="J76">
        <f t="shared" si="18"/>
        <v>33</v>
      </c>
      <c r="K76">
        <f t="shared" si="19"/>
        <v>5</v>
      </c>
      <c r="L76">
        <f t="shared" si="20"/>
        <v>58.2</v>
      </c>
    </row>
    <row r="77" spans="2:12" x14ac:dyDescent="0.3">
      <c r="B77" s="11" t="s">
        <v>60</v>
      </c>
      <c r="C77" s="11">
        <v>51</v>
      </c>
      <c r="D77" s="11">
        <v>66</v>
      </c>
      <c r="E77" s="11">
        <v>95</v>
      </c>
      <c r="F77" s="11">
        <v>90</v>
      </c>
      <c r="G77" s="13">
        <v>66</v>
      </c>
      <c r="H77">
        <f t="shared" si="16"/>
        <v>368</v>
      </c>
      <c r="I77">
        <f t="shared" si="17"/>
        <v>95</v>
      </c>
      <c r="J77">
        <f t="shared" si="18"/>
        <v>51</v>
      </c>
      <c r="K77">
        <f t="shared" si="19"/>
        <v>5</v>
      </c>
      <c r="L77">
        <f t="shared" si="20"/>
        <v>73.599999999999994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Conditional_1</vt:lpstr>
      <vt:lpstr>Customized Con Formatting</vt:lpstr>
      <vt:lpstr>Sheet1 (2)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Vikas Jaiswal</cp:lastModifiedBy>
  <dcterms:created xsi:type="dcterms:W3CDTF">2015-06-05T18:17:20Z</dcterms:created>
  <dcterms:modified xsi:type="dcterms:W3CDTF">2025-09-30T07:16:26Z</dcterms:modified>
</cp:coreProperties>
</file>